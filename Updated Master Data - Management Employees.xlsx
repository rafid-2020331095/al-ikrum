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externalLinks/externalLink1.xml" ContentType="application/vnd.openxmlformats-officedocument.spreadsheetml.externalLink+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28"/>
  <workbookPr defaultThemeVersion="166925"/>
  <mc:AlternateContent xmlns:mc="http://schemas.openxmlformats.org/markup-compatibility/2006">
    <mc:Choice Requires="x15">
      <x15ac:absPath xmlns:x15ac="http://schemas.microsoft.com/office/spreadsheetml/2010/11/ac" url="https://akijfoodltd-my.sharepoint.com/personal/jamshed_amin_akijhealthcare_com/Documents/Desktop/Office Files/Employee List/Updated/"/>
    </mc:Choice>
  </mc:AlternateContent>
  <xr:revisionPtr revIDLastSave="0" documentId="8_{01BB22B0-E007-4503-AEAB-3734DC18F239}" xr6:coauthVersionLast="47" xr6:coauthVersionMax="47" xr10:uidLastSave="{00000000-0000-0000-0000-000000000000}"/>
  <bookViews>
    <workbookView xWindow="-110" yWindow="-110" windowWidth="19420" windowHeight="10300" xr2:uid="{8DF1F245-5B32-4930-B9C9-A5D8402C2858}"/>
  </bookViews>
  <sheets>
    <sheet name="Master Data Update" sheetId="11" r:id="rId1"/>
  </sheets>
  <externalReferences>
    <externalReference r:id="rId2"/>
  </externalReferences>
  <definedNames>
    <definedName name="Slicer_Department_Head_Status">#N/A</definedName>
    <definedName name="Slicer_Status">#N/A</definedName>
  </definedNames>
  <calcPr calcId="191028"/>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3"/>
        <x14:slicerCache r:id="rId4"/>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5" i="11" l="1"/>
  <c r="H6" i="11"/>
  <c r="H7" i="11"/>
  <c r="H8" i="11"/>
  <c r="H9" i="11"/>
  <c r="H10" i="11"/>
  <c r="H11" i="11"/>
  <c r="H12" i="11"/>
  <c r="H13" i="11"/>
  <c r="H14" i="11"/>
  <c r="H15" i="11"/>
  <c r="H16" i="11"/>
  <c r="H17" i="11"/>
  <c r="H18" i="11"/>
  <c r="H19" i="11"/>
  <c r="H20" i="11"/>
  <c r="H21" i="11"/>
  <c r="H22" i="11"/>
  <c r="H23" i="11"/>
  <c r="H24" i="11"/>
  <c r="H25" i="11"/>
  <c r="H26" i="11"/>
  <c r="H27" i="11"/>
  <c r="H28" i="11"/>
  <c r="H29" i="11"/>
  <c r="H30" i="11"/>
  <c r="H31" i="11"/>
  <c r="H32" i="11"/>
  <c r="H33" i="11"/>
  <c r="H34" i="11"/>
  <c r="H35" i="11"/>
  <c r="H36" i="11"/>
  <c r="H37" i="11"/>
  <c r="H38" i="11"/>
  <c r="H39" i="11"/>
  <c r="H40" i="11"/>
  <c r="H41" i="11"/>
  <c r="H42" i="11"/>
  <c r="H43" i="11"/>
  <c r="H44" i="11"/>
  <c r="H45" i="11"/>
  <c r="H46" i="11"/>
  <c r="H47" i="11"/>
  <c r="H48" i="11"/>
  <c r="H49" i="11"/>
  <c r="H50" i="11"/>
  <c r="H51" i="11"/>
  <c r="H52" i="11"/>
  <c r="H53" i="11"/>
  <c r="H54" i="11"/>
  <c r="H55" i="11"/>
  <c r="H56" i="11"/>
  <c r="H57" i="11"/>
  <c r="H58" i="11"/>
  <c r="H59" i="11"/>
  <c r="H60" i="11"/>
  <c r="H61" i="11"/>
  <c r="H62" i="11"/>
  <c r="H63" i="11"/>
  <c r="H64" i="11"/>
  <c r="H65" i="11"/>
  <c r="H66" i="11"/>
  <c r="H67" i="11"/>
  <c r="H68" i="11"/>
  <c r="H69" i="11"/>
  <c r="H70" i="11"/>
  <c r="H71" i="11"/>
  <c r="H72" i="11"/>
  <c r="H73" i="11"/>
  <c r="H74" i="11"/>
  <c r="H75" i="11"/>
  <c r="H76" i="11"/>
  <c r="H77" i="11"/>
  <c r="H78" i="11"/>
  <c r="H79" i="11"/>
  <c r="H80" i="11"/>
  <c r="H81" i="11"/>
  <c r="H82" i="11"/>
  <c r="H83" i="11"/>
  <c r="H84" i="11"/>
  <c r="H85" i="11"/>
  <c r="H86" i="11"/>
  <c r="H87" i="11"/>
  <c r="H88" i="11"/>
  <c r="H89" i="11"/>
  <c r="H90" i="11"/>
  <c r="H91" i="11"/>
  <c r="H92" i="11"/>
  <c r="H93" i="11"/>
  <c r="H94" i="11"/>
  <c r="H95" i="11"/>
  <c r="H96" i="11"/>
  <c r="H97" i="11"/>
  <c r="H98" i="11"/>
  <c r="H99" i="11"/>
  <c r="H100" i="11"/>
  <c r="H101" i="11"/>
  <c r="H102" i="11"/>
  <c r="H103" i="11"/>
  <c r="H104" i="11"/>
  <c r="H105" i="11"/>
  <c r="H106" i="11"/>
  <c r="H107" i="11"/>
  <c r="H108" i="11"/>
  <c r="H109" i="11"/>
  <c r="H110" i="11"/>
  <c r="H111" i="11"/>
  <c r="H112" i="11"/>
  <c r="H113" i="11"/>
  <c r="H114" i="11"/>
  <c r="H115" i="11"/>
  <c r="H116" i="11"/>
  <c r="H117" i="11"/>
  <c r="H118" i="11"/>
  <c r="H119" i="11"/>
  <c r="H120" i="11"/>
  <c r="H121" i="11"/>
  <c r="H122" i="11"/>
  <c r="H123" i="11"/>
  <c r="H124" i="11"/>
  <c r="H125" i="11"/>
  <c r="H126" i="11"/>
  <c r="H127" i="11"/>
  <c r="H128" i="11"/>
  <c r="H129" i="11"/>
  <c r="H130" i="11"/>
  <c r="H131" i="11"/>
  <c r="H132" i="11"/>
  <c r="H133" i="11"/>
  <c r="H134" i="11"/>
  <c r="H135" i="11"/>
  <c r="H136" i="11"/>
  <c r="H137" i="11"/>
  <c r="H138" i="11"/>
  <c r="H139" i="11"/>
  <c r="H140" i="11"/>
  <c r="H141" i="11"/>
  <c r="H142" i="11"/>
  <c r="H143" i="11"/>
  <c r="H144" i="11"/>
  <c r="H145" i="11"/>
  <c r="H146" i="11"/>
  <c r="H147" i="11"/>
  <c r="H148" i="11"/>
  <c r="H149" i="11"/>
  <c r="H150" i="11"/>
  <c r="H151" i="11"/>
  <c r="H152" i="11"/>
  <c r="H153" i="11"/>
  <c r="H154" i="11"/>
  <c r="H155" i="11"/>
  <c r="H156" i="11"/>
  <c r="H157" i="11"/>
  <c r="H158" i="11"/>
  <c r="H159" i="11"/>
  <c r="H160" i="11"/>
  <c r="H161" i="11"/>
  <c r="H162" i="11"/>
  <c r="H163" i="11"/>
  <c r="H164" i="11"/>
  <c r="H165" i="11"/>
  <c r="H166" i="11"/>
  <c r="H167" i="11"/>
  <c r="H168" i="11"/>
  <c r="H169" i="11"/>
  <c r="H170" i="11"/>
  <c r="H171" i="11"/>
  <c r="H172" i="11"/>
  <c r="H173" i="11"/>
  <c r="H174" i="11"/>
  <c r="H175" i="11"/>
  <c r="H176" i="11"/>
  <c r="H177" i="11"/>
  <c r="H178" i="11"/>
  <c r="H179" i="11"/>
  <c r="H180" i="11"/>
  <c r="H181" i="11"/>
  <c r="H182" i="11"/>
  <c r="H183" i="11"/>
  <c r="H184" i="11"/>
  <c r="H185" i="11"/>
  <c r="H186" i="11"/>
  <c r="H187" i="11"/>
  <c r="H188" i="11"/>
  <c r="H189" i="11"/>
  <c r="H190" i="11"/>
  <c r="H191" i="11"/>
  <c r="H192" i="11"/>
  <c r="H193" i="11"/>
  <c r="H194" i="11"/>
  <c r="H195" i="11"/>
  <c r="H196" i="11"/>
  <c r="H197" i="11"/>
  <c r="H198" i="11"/>
  <c r="H199" i="11"/>
  <c r="H200" i="11"/>
  <c r="H201" i="11"/>
  <c r="H202" i="11"/>
  <c r="H203" i="11"/>
  <c r="H204" i="11"/>
  <c r="H205" i="11"/>
  <c r="H206" i="11"/>
  <c r="H207" i="11"/>
  <c r="H208" i="11"/>
  <c r="H209" i="11"/>
  <c r="H210" i="11"/>
  <c r="H211" i="11"/>
  <c r="H212" i="11"/>
  <c r="H213" i="11"/>
  <c r="H214" i="11"/>
  <c r="H215" i="11"/>
  <c r="H216" i="11"/>
  <c r="H217" i="11"/>
  <c r="H218" i="11"/>
  <c r="H219" i="11"/>
  <c r="H220" i="11"/>
  <c r="H221" i="11"/>
  <c r="H222" i="11"/>
  <c r="H223" i="11"/>
  <c r="H224" i="11"/>
  <c r="H225" i="11"/>
  <c r="H226" i="11"/>
  <c r="H227" i="11"/>
  <c r="H228" i="11"/>
  <c r="H229" i="11"/>
  <c r="H230" i="11"/>
  <c r="H231" i="11"/>
  <c r="H232" i="11"/>
  <c r="H233" i="11"/>
  <c r="H234" i="11"/>
  <c r="H235" i="11"/>
  <c r="H236" i="11"/>
  <c r="H237" i="11"/>
  <c r="H238" i="11"/>
  <c r="H239" i="11"/>
  <c r="H240" i="11"/>
  <c r="H241" i="11"/>
  <c r="H242" i="11"/>
  <c r="H243" i="11"/>
  <c r="H244" i="11"/>
  <c r="H245" i="11"/>
  <c r="H246" i="11"/>
  <c r="H247" i="11"/>
  <c r="H248" i="11"/>
  <c r="H249" i="11"/>
  <c r="H250" i="11"/>
  <c r="H251" i="11"/>
  <c r="H252" i="11"/>
  <c r="H253" i="11"/>
  <c r="H254" i="11"/>
  <c r="H255" i="11"/>
  <c r="H256" i="11"/>
  <c r="H257" i="11"/>
  <c r="H258" i="11"/>
  <c r="H259" i="11"/>
  <c r="H260" i="11"/>
  <c r="H261" i="11"/>
  <c r="H262" i="11"/>
  <c r="H263" i="11"/>
  <c r="H264" i="11"/>
  <c r="H265" i="11"/>
  <c r="H266" i="11"/>
  <c r="H267" i="11"/>
  <c r="H268" i="11"/>
  <c r="H269" i="11"/>
  <c r="H270" i="11"/>
  <c r="H271" i="11"/>
  <c r="H272" i="11"/>
  <c r="H273" i="11"/>
  <c r="H274" i="11"/>
  <c r="H275" i="11"/>
  <c r="H276" i="11"/>
  <c r="H277" i="11"/>
  <c r="H278" i="11"/>
  <c r="H279" i="11"/>
  <c r="H280" i="11"/>
  <c r="H281" i="11"/>
  <c r="H282" i="11"/>
  <c r="H283" i="11"/>
  <c r="H284" i="11"/>
  <c r="H285" i="11"/>
  <c r="H286" i="11"/>
  <c r="H287" i="11"/>
  <c r="H288" i="11"/>
  <c r="H289" i="11"/>
  <c r="H290" i="11"/>
  <c r="H291" i="11"/>
  <c r="H292" i="11"/>
  <c r="H293" i="11"/>
  <c r="H294" i="11"/>
  <c r="H295" i="11"/>
  <c r="H296" i="11"/>
  <c r="H297" i="11"/>
  <c r="H298" i="11"/>
  <c r="H299" i="11"/>
  <c r="H300" i="11"/>
  <c r="H301" i="11"/>
  <c r="H302" i="11"/>
  <c r="H303" i="11"/>
  <c r="H304" i="11"/>
  <c r="H305" i="11"/>
  <c r="H306" i="11"/>
  <c r="H307" i="11"/>
  <c r="H308" i="11"/>
  <c r="H309" i="11"/>
  <c r="H310" i="11"/>
  <c r="H311" i="11"/>
  <c r="H312" i="11"/>
  <c r="H313" i="11"/>
  <c r="H314" i="11"/>
  <c r="H315" i="11"/>
  <c r="H316" i="11"/>
  <c r="H317" i="11"/>
  <c r="H318" i="11"/>
  <c r="H319" i="11"/>
  <c r="H320" i="11"/>
  <c r="H321" i="11"/>
  <c r="H322" i="11"/>
  <c r="H323" i="11"/>
  <c r="H324" i="11"/>
  <c r="H325" i="11"/>
  <c r="H326" i="11"/>
  <c r="H327" i="11"/>
  <c r="H328" i="11"/>
  <c r="H329" i="11"/>
  <c r="H330" i="11"/>
  <c r="H331" i="11"/>
  <c r="H332" i="11"/>
  <c r="H333" i="11"/>
  <c r="H334" i="11"/>
  <c r="H335" i="11"/>
  <c r="H336" i="11"/>
  <c r="H337" i="11"/>
  <c r="H338" i="11"/>
  <c r="H339" i="11"/>
  <c r="H340" i="11"/>
  <c r="H341" i="11"/>
  <c r="H342" i="11"/>
  <c r="H343" i="11"/>
  <c r="H344" i="11"/>
  <c r="H345" i="11"/>
  <c r="H346" i="11"/>
  <c r="H347" i="11"/>
  <c r="H348" i="11"/>
  <c r="H349" i="11"/>
  <c r="H350" i="11"/>
  <c r="H351" i="11"/>
  <c r="H352" i="11"/>
  <c r="H353" i="11"/>
  <c r="H354" i="11"/>
  <c r="H355" i="11"/>
  <c r="H356" i="11"/>
  <c r="H357" i="11"/>
  <c r="H358" i="11"/>
  <c r="H359" i="11"/>
  <c r="H360" i="11"/>
  <c r="H361" i="11"/>
  <c r="H362" i="11"/>
  <c r="H363" i="11"/>
  <c r="H364" i="11"/>
  <c r="H365" i="11"/>
  <c r="H366" i="11"/>
  <c r="H367" i="11"/>
  <c r="H368" i="11"/>
  <c r="H369" i="11"/>
  <c r="H370" i="11"/>
  <c r="H371" i="11"/>
  <c r="H372" i="11"/>
  <c r="H373" i="11"/>
  <c r="H374" i="11"/>
  <c r="H375" i="11"/>
  <c r="H376" i="11"/>
  <c r="H377" i="11"/>
  <c r="H378" i="11"/>
  <c r="H379" i="11"/>
  <c r="H380" i="11"/>
  <c r="H381" i="11"/>
  <c r="H382" i="11"/>
  <c r="H383" i="11"/>
  <c r="H384" i="11"/>
  <c r="H385" i="11"/>
  <c r="H386" i="11"/>
  <c r="H387" i="11"/>
  <c r="H388" i="11"/>
  <c r="H389" i="11"/>
  <c r="H390" i="11"/>
  <c r="H391" i="11"/>
  <c r="H392" i="11"/>
  <c r="H393" i="11"/>
  <c r="H394" i="11"/>
  <c r="H395" i="11"/>
  <c r="H396" i="11"/>
  <c r="H397" i="11"/>
  <c r="H398" i="11"/>
  <c r="H399" i="11"/>
  <c r="H400" i="11"/>
  <c r="H401" i="11"/>
  <c r="H402" i="11"/>
  <c r="H403" i="11"/>
  <c r="H404" i="11"/>
  <c r="H405" i="11"/>
  <c r="H406" i="11"/>
  <c r="H407" i="11"/>
  <c r="H408" i="11"/>
  <c r="H409" i="11"/>
  <c r="H410" i="11"/>
  <c r="H411" i="11"/>
  <c r="H412" i="11"/>
  <c r="H413" i="11"/>
  <c r="H414" i="11"/>
  <c r="H415" i="11"/>
  <c r="H416" i="11"/>
  <c r="H417" i="11"/>
  <c r="H418" i="11"/>
  <c r="H419" i="11"/>
  <c r="H420" i="11"/>
  <c r="H421" i="11"/>
  <c r="H422" i="11"/>
  <c r="H423" i="11"/>
  <c r="H424" i="11"/>
  <c r="H425" i="11"/>
  <c r="H426" i="11"/>
  <c r="H427" i="11"/>
  <c r="H428" i="11"/>
  <c r="H429" i="11"/>
  <c r="H430" i="11"/>
  <c r="H431" i="11"/>
  <c r="H432" i="11"/>
  <c r="H433" i="11"/>
  <c r="H434" i="11"/>
  <c r="H435" i="11"/>
  <c r="H436" i="11"/>
  <c r="H437" i="11"/>
  <c r="H438" i="11"/>
  <c r="H439" i="11"/>
  <c r="H440" i="11"/>
  <c r="H441" i="11"/>
  <c r="H442" i="11"/>
  <c r="H443" i="11"/>
  <c r="H444" i="11"/>
  <c r="H445" i="11"/>
  <c r="H446" i="11"/>
  <c r="H447" i="11"/>
  <c r="H448" i="11"/>
  <c r="H449" i="11"/>
  <c r="H450" i="11"/>
  <c r="H451" i="11"/>
  <c r="H452" i="11"/>
  <c r="H453" i="11"/>
  <c r="H454" i="11"/>
  <c r="H455" i="11"/>
  <c r="H456" i="11"/>
  <c r="H457" i="11"/>
  <c r="H458" i="11"/>
  <c r="H459" i="11"/>
  <c r="H460" i="11"/>
  <c r="H461" i="11"/>
  <c r="H462" i="11"/>
  <c r="H463" i="11"/>
  <c r="H464" i="11"/>
  <c r="H465" i="11"/>
  <c r="H466" i="11"/>
  <c r="H467" i="11"/>
  <c r="H468" i="11"/>
  <c r="H469" i="11"/>
  <c r="H470" i="11"/>
  <c r="H471" i="11"/>
  <c r="H472" i="11"/>
  <c r="H473" i="11"/>
  <c r="H474" i="11"/>
  <c r="H475" i="11"/>
  <c r="H476" i="11"/>
  <c r="H477" i="11"/>
  <c r="H478" i="11"/>
  <c r="H479" i="11"/>
  <c r="H480" i="11"/>
  <c r="H481" i="11"/>
  <c r="H482" i="11"/>
  <c r="H483" i="11"/>
  <c r="H484" i="11"/>
  <c r="H485" i="11"/>
  <c r="H486" i="11"/>
  <c r="H487" i="11"/>
  <c r="H488" i="11"/>
  <c r="H489" i="11"/>
  <c r="H490" i="11"/>
  <c r="H491" i="11"/>
  <c r="H492" i="11"/>
  <c r="H493" i="11"/>
  <c r="H494" i="11"/>
  <c r="H495" i="11"/>
  <c r="H496" i="11"/>
  <c r="H497" i="11"/>
  <c r="H498" i="11"/>
  <c r="H499" i="11"/>
  <c r="H500" i="11"/>
  <c r="H501" i="11"/>
  <c r="H502" i="11"/>
  <c r="H503" i="11"/>
  <c r="H504" i="11"/>
  <c r="H505" i="11"/>
  <c r="H506" i="11"/>
  <c r="H507" i="11"/>
  <c r="H508" i="11"/>
  <c r="H509" i="11"/>
  <c r="H510" i="11"/>
  <c r="H511" i="11"/>
  <c r="H512" i="11"/>
  <c r="H513" i="11"/>
  <c r="H514" i="11"/>
  <c r="H515" i="11"/>
  <c r="H516" i="11"/>
  <c r="H517" i="11"/>
  <c r="H518" i="11"/>
  <c r="H519" i="11"/>
  <c r="H520" i="11"/>
  <c r="H521" i="11"/>
  <c r="H522" i="11"/>
  <c r="H523" i="11"/>
  <c r="H524" i="11"/>
  <c r="H525" i="11"/>
  <c r="H526" i="11"/>
  <c r="H527" i="11"/>
  <c r="H528" i="11"/>
  <c r="H529" i="11"/>
  <c r="H530" i="11"/>
  <c r="H531" i="11"/>
  <c r="H532" i="11"/>
  <c r="H533" i="11"/>
  <c r="H534" i="11"/>
  <c r="H535" i="11"/>
  <c r="H536" i="11"/>
  <c r="H537" i="11"/>
  <c r="H538" i="11"/>
  <c r="H539" i="11"/>
  <c r="H540" i="11"/>
  <c r="H541" i="11"/>
  <c r="H542" i="11"/>
  <c r="H543" i="11"/>
  <c r="H544" i="11"/>
  <c r="H545" i="11"/>
  <c r="H546" i="11"/>
  <c r="H547" i="11"/>
  <c r="H548" i="11"/>
  <c r="H549" i="11"/>
  <c r="H550" i="11"/>
  <c r="H551" i="11"/>
  <c r="H552" i="11"/>
  <c r="H553" i="11"/>
  <c r="H554" i="11"/>
  <c r="H555" i="11"/>
  <c r="H556" i="11"/>
  <c r="H557" i="11"/>
  <c r="H558" i="11"/>
  <c r="H559" i="11"/>
  <c r="H560" i="11"/>
  <c r="H561" i="11"/>
  <c r="H562" i="11"/>
  <c r="H563" i="11"/>
  <c r="H564" i="11"/>
  <c r="H565" i="11"/>
  <c r="H566" i="11"/>
  <c r="H567" i="11"/>
  <c r="H568" i="11"/>
  <c r="H569" i="11"/>
  <c r="H570" i="11"/>
  <c r="H571" i="11"/>
  <c r="H572" i="11"/>
  <c r="H573" i="11"/>
  <c r="H574" i="11"/>
  <c r="H575" i="11"/>
  <c r="H576" i="11"/>
  <c r="H577" i="11"/>
  <c r="H578" i="11"/>
  <c r="H579" i="11"/>
  <c r="H580" i="11"/>
  <c r="H581" i="11"/>
  <c r="H582" i="11"/>
  <c r="H583" i="11"/>
  <c r="H584" i="11"/>
  <c r="H585" i="11"/>
  <c r="H586" i="11"/>
  <c r="H587" i="11"/>
  <c r="H588" i="11"/>
  <c r="H589" i="11"/>
  <c r="H590" i="11"/>
  <c r="H591" i="11"/>
  <c r="H592" i="11"/>
  <c r="H593" i="11"/>
  <c r="H594" i="11"/>
  <c r="H595" i="11"/>
  <c r="H596" i="11"/>
  <c r="H597" i="11"/>
  <c r="H598" i="11"/>
  <c r="H599" i="11"/>
  <c r="H600" i="11"/>
  <c r="H601" i="11"/>
  <c r="H602" i="11"/>
  <c r="H603" i="11"/>
  <c r="H604" i="11"/>
  <c r="H605" i="11"/>
  <c r="H606" i="11"/>
  <c r="H607" i="11"/>
  <c r="H608" i="11"/>
  <c r="H609" i="11"/>
  <c r="H610" i="11"/>
  <c r="H611" i="11"/>
  <c r="H612" i="11"/>
  <c r="H613" i="11"/>
  <c r="H614" i="11"/>
  <c r="H615" i="11"/>
  <c r="H616" i="11"/>
  <c r="H617" i="11"/>
  <c r="H618" i="11"/>
  <c r="H619" i="11"/>
  <c r="H620" i="11"/>
  <c r="H621" i="11"/>
  <c r="H622" i="11"/>
  <c r="H623" i="11"/>
  <c r="H624" i="11"/>
  <c r="H625" i="11"/>
  <c r="H626" i="11"/>
  <c r="H627" i="11"/>
  <c r="H628" i="11"/>
  <c r="H629" i="11"/>
  <c r="H630" i="11"/>
  <c r="H631" i="11"/>
  <c r="H632" i="11"/>
  <c r="H633" i="11"/>
  <c r="H634" i="11"/>
  <c r="H635" i="11"/>
  <c r="H636" i="11"/>
  <c r="H637" i="11"/>
  <c r="H638" i="11"/>
  <c r="H639" i="11"/>
  <c r="H640" i="11"/>
  <c r="H641" i="11"/>
  <c r="H642" i="11"/>
  <c r="H643" i="11"/>
  <c r="H644" i="11"/>
  <c r="H645" i="11"/>
  <c r="H646" i="11"/>
  <c r="H647" i="11"/>
  <c r="H648" i="11"/>
  <c r="H649" i="11"/>
  <c r="H650" i="11"/>
  <c r="H4" i="11"/>
  <c r="A6" i="11"/>
  <c r="A7" i="11"/>
  <c r="A8" i="11"/>
  <c r="A9" i="11"/>
  <c r="A10" i="11"/>
  <c r="A11" i="11"/>
  <c r="A12" i="11"/>
  <c r="A13" i="11"/>
  <c r="A14" i="11"/>
  <c r="A15" i="11"/>
  <c r="A16" i="11"/>
  <c r="A17" i="11"/>
  <c r="A18" i="11"/>
  <c r="A19" i="11"/>
  <c r="A20" i="11"/>
  <c r="A21" i="11"/>
  <c r="A22" i="11"/>
  <c r="A23" i="11"/>
  <c r="A24" i="11"/>
  <c r="A25" i="11"/>
  <c r="A26" i="11"/>
  <c r="A27" i="11"/>
  <c r="A28" i="11"/>
  <c r="A29" i="11"/>
  <c r="A30" i="11"/>
  <c r="A31" i="11"/>
  <c r="A32" i="11"/>
  <c r="A33" i="11"/>
  <c r="A34" i="11"/>
  <c r="A35" i="11"/>
  <c r="A36" i="11"/>
  <c r="A37" i="11"/>
  <c r="A38" i="11"/>
  <c r="A39" i="11"/>
  <c r="A40" i="11"/>
  <c r="A41" i="11"/>
  <c r="A42" i="11"/>
  <c r="A43" i="11"/>
  <c r="A44" i="11"/>
  <c r="A45" i="11"/>
  <c r="A46" i="11"/>
  <c r="A47" i="11"/>
  <c r="A48" i="11"/>
  <c r="A49" i="11"/>
  <c r="A50" i="11"/>
  <c r="A51" i="11"/>
  <c r="A52" i="11"/>
  <c r="A53" i="11"/>
  <c r="A54" i="11"/>
  <c r="A55" i="11"/>
  <c r="A56" i="11"/>
  <c r="A57" i="11"/>
  <c r="A58" i="11"/>
  <c r="A59" i="11"/>
  <c r="A60" i="11"/>
  <c r="A61" i="11"/>
  <c r="A62" i="11"/>
  <c r="A63" i="11"/>
  <c r="A64" i="11"/>
  <c r="A65" i="11"/>
  <c r="A66" i="11"/>
  <c r="A67" i="11"/>
  <c r="A68" i="11"/>
  <c r="A69" i="11"/>
  <c r="A70" i="11"/>
  <c r="A71" i="11"/>
  <c r="A72" i="11"/>
  <c r="A73" i="11"/>
  <c r="A74" i="11"/>
  <c r="A75" i="11"/>
  <c r="A76" i="11"/>
  <c r="A77" i="11"/>
  <c r="A78" i="11"/>
  <c r="A79" i="11"/>
  <c r="A80" i="11"/>
  <c r="A81" i="11"/>
  <c r="A82" i="11"/>
  <c r="A83" i="11"/>
  <c r="A84" i="11"/>
  <c r="A85" i="11"/>
  <c r="A86" i="11"/>
  <c r="A87" i="11"/>
  <c r="A88" i="11"/>
  <c r="A89" i="11"/>
  <c r="A90" i="11"/>
  <c r="A91" i="11"/>
  <c r="A92" i="11"/>
  <c r="A93" i="11"/>
  <c r="A94" i="11"/>
  <c r="A95" i="11"/>
  <c r="A96" i="11"/>
  <c r="A97" i="11"/>
  <c r="A98" i="11"/>
  <c r="A99" i="11"/>
  <c r="A100" i="11"/>
  <c r="A101" i="11"/>
  <c r="A102" i="11"/>
  <c r="A103" i="11"/>
  <c r="A104" i="11"/>
  <c r="A105" i="11"/>
  <c r="A106" i="11"/>
  <c r="A107" i="11"/>
  <c r="A108" i="11"/>
  <c r="A109" i="11"/>
  <c r="A110" i="11"/>
  <c r="A111" i="11"/>
  <c r="A112" i="11"/>
  <c r="A113" i="11"/>
  <c r="A114" i="11"/>
  <c r="A115" i="11"/>
  <c r="A116" i="11"/>
  <c r="A117" i="11"/>
  <c r="A118" i="11"/>
  <c r="A119" i="11"/>
  <c r="A120" i="11"/>
  <c r="A121" i="11"/>
  <c r="A122" i="11"/>
  <c r="A123" i="11"/>
  <c r="A124" i="11"/>
  <c r="A125" i="11"/>
  <c r="A126" i="11"/>
  <c r="A127" i="11"/>
  <c r="A128" i="11"/>
  <c r="A129" i="11"/>
  <c r="A130" i="11"/>
  <c r="A131" i="11"/>
  <c r="A132" i="11"/>
  <c r="A133" i="11"/>
  <c r="A134" i="11"/>
  <c r="A135" i="11"/>
  <c r="A136" i="11"/>
  <c r="A137" i="11"/>
  <c r="A138" i="11"/>
  <c r="A139" i="11"/>
  <c r="A140" i="11"/>
  <c r="A141" i="11"/>
  <c r="A142" i="11"/>
  <c r="A143" i="11"/>
  <c r="A144" i="11"/>
  <c r="A145" i="11"/>
  <c r="A146" i="11"/>
  <c r="A147" i="11"/>
  <c r="A148" i="11"/>
  <c r="A149" i="11"/>
  <c r="A150" i="11"/>
  <c r="A151" i="11"/>
  <c r="A152" i="11"/>
  <c r="A153" i="11"/>
  <c r="A154" i="11"/>
  <c r="A155" i="11"/>
  <c r="A156" i="11"/>
  <c r="A157" i="11"/>
  <c r="A158" i="11"/>
  <c r="A159" i="11"/>
  <c r="A160" i="11"/>
  <c r="A161" i="11"/>
  <c r="A162" i="11"/>
  <c r="A163" i="11"/>
  <c r="A164" i="11"/>
  <c r="A165" i="11"/>
  <c r="A166" i="11"/>
  <c r="A167" i="11"/>
  <c r="A168" i="11"/>
  <c r="A169" i="11"/>
  <c r="A170" i="11"/>
  <c r="A171" i="11"/>
  <c r="A172" i="11"/>
  <c r="A173" i="11"/>
  <c r="A174" i="11"/>
  <c r="A175" i="11"/>
  <c r="A176" i="11"/>
  <c r="A177" i="11"/>
  <c r="A178" i="11"/>
  <c r="A179" i="11"/>
  <c r="A180" i="11"/>
  <c r="A181" i="11"/>
  <c r="A182" i="11"/>
  <c r="A183" i="11"/>
  <c r="A184" i="11"/>
  <c r="A185" i="11"/>
  <c r="A186" i="11"/>
  <c r="A187" i="11"/>
  <c r="A188" i="11"/>
  <c r="A189" i="11"/>
  <c r="A190" i="11"/>
  <c r="A191" i="11"/>
  <c r="A192" i="11"/>
  <c r="A193" i="11"/>
  <c r="A194" i="11"/>
  <c r="A195" i="11"/>
  <c r="A196" i="11"/>
  <c r="A197" i="11"/>
  <c r="A198" i="11"/>
  <c r="A199" i="11"/>
  <c r="A200" i="11"/>
  <c r="A201" i="11"/>
  <c r="A202" i="11"/>
  <c r="A203" i="11"/>
  <c r="A204" i="11"/>
  <c r="A205" i="11"/>
  <c r="A206" i="11"/>
  <c r="A207" i="11"/>
  <c r="A208" i="11"/>
  <c r="A209" i="11"/>
  <c r="A210" i="11"/>
  <c r="A211" i="11"/>
  <c r="A212" i="11"/>
  <c r="A213" i="11"/>
  <c r="A214" i="11"/>
  <c r="A215" i="11"/>
  <c r="A216" i="11"/>
  <c r="A217" i="11"/>
  <c r="A218" i="11"/>
  <c r="A219" i="11"/>
  <c r="A220" i="11"/>
  <c r="A221" i="11"/>
  <c r="A222" i="11"/>
  <c r="A223" i="11"/>
  <c r="A224" i="11"/>
  <c r="A225" i="11"/>
  <c r="A226" i="11"/>
  <c r="A227" i="11"/>
  <c r="A228" i="11"/>
  <c r="A229" i="11"/>
  <c r="A230" i="11"/>
  <c r="A231" i="11"/>
  <c r="A232" i="11"/>
  <c r="A233" i="11"/>
  <c r="A234" i="11"/>
  <c r="A235" i="11"/>
  <c r="A236" i="11"/>
  <c r="A237" i="11"/>
  <c r="A238" i="11"/>
  <c r="A239" i="11"/>
  <c r="A240" i="11"/>
  <c r="A241" i="11"/>
  <c r="A242" i="11"/>
  <c r="A243" i="11"/>
  <c r="A244" i="11"/>
  <c r="A245" i="11"/>
  <c r="A246" i="11"/>
  <c r="A247" i="11"/>
  <c r="A248" i="11"/>
  <c r="A249" i="11"/>
  <c r="A250" i="11"/>
  <c r="A251" i="11"/>
  <c r="A252" i="11"/>
  <c r="A253" i="11"/>
  <c r="A254" i="11"/>
  <c r="A255" i="11"/>
  <c r="A256" i="11"/>
  <c r="A257" i="11"/>
  <c r="A258" i="11"/>
  <c r="A259" i="11"/>
  <c r="A260" i="11"/>
  <c r="A261" i="11"/>
  <c r="A262" i="11"/>
  <c r="A263" i="11"/>
  <c r="A264" i="11"/>
  <c r="A265" i="11"/>
  <c r="A266" i="11"/>
  <c r="A267" i="11"/>
  <c r="A268" i="11"/>
  <c r="A269" i="11"/>
  <c r="A270" i="11"/>
  <c r="A271" i="11"/>
  <c r="A272" i="11"/>
  <c r="A273" i="11"/>
  <c r="A274" i="11"/>
  <c r="A275" i="11"/>
  <c r="A276" i="11"/>
  <c r="A277" i="11"/>
  <c r="A278" i="11"/>
  <c r="A279" i="11"/>
  <c r="A280" i="11"/>
  <c r="A281" i="11"/>
  <c r="A282" i="11"/>
  <c r="A283" i="11"/>
  <c r="A284" i="11"/>
  <c r="A285" i="11"/>
  <c r="A286" i="11"/>
  <c r="A287" i="11"/>
  <c r="A288" i="11"/>
  <c r="A289" i="11"/>
  <c r="A290" i="11"/>
  <c r="A291" i="11"/>
  <c r="A292" i="11"/>
  <c r="A293" i="11"/>
  <c r="A294" i="11"/>
  <c r="A295" i="11"/>
  <c r="A296" i="11"/>
  <c r="A297" i="11"/>
  <c r="A298" i="11"/>
  <c r="A299" i="11"/>
  <c r="A300" i="11"/>
  <c r="A301" i="11"/>
  <c r="A302" i="11"/>
  <c r="A303" i="11"/>
  <c r="A304" i="11"/>
  <c r="A305" i="11"/>
  <c r="A306" i="11"/>
  <c r="A307" i="11"/>
  <c r="A308" i="11"/>
  <c r="A309" i="11"/>
  <c r="A310" i="11"/>
  <c r="A311" i="11"/>
  <c r="A312" i="11"/>
  <c r="A313" i="11"/>
  <c r="A314" i="11"/>
  <c r="A315" i="11"/>
  <c r="A316" i="11"/>
  <c r="A317" i="11"/>
  <c r="A318" i="11"/>
  <c r="A319" i="11"/>
  <c r="A320" i="11"/>
  <c r="A321" i="11"/>
  <c r="A322" i="11"/>
  <c r="A323" i="11"/>
  <c r="A324" i="11"/>
  <c r="A325" i="11"/>
  <c r="A326" i="11"/>
  <c r="A327" i="11"/>
  <c r="A328" i="11"/>
  <c r="A329" i="11"/>
  <c r="A330" i="11"/>
  <c r="A331" i="11"/>
  <c r="A332" i="11"/>
  <c r="A333" i="11"/>
  <c r="A334" i="11"/>
  <c r="A335" i="11"/>
  <c r="A336" i="11"/>
  <c r="A337" i="11"/>
  <c r="A338" i="11"/>
  <c r="A339" i="11"/>
  <c r="A340" i="11"/>
  <c r="A341" i="11"/>
  <c r="A342" i="11"/>
  <c r="A343" i="11"/>
  <c r="A344" i="11"/>
  <c r="A345" i="11"/>
  <c r="A346" i="11"/>
  <c r="A347" i="11"/>
  <c r="A348" i="11"/>
  <c r="A349" i="11"/>
  <c r="A350" i="11"/>
  <c r="A351" i="11"/>
  <c r="A352" i="11"/>
  <c r="A353" i="11"/>
  <c r="A354" i="11"/>
  <c r="A355" i="11"/>
  <c r="A356" i="11"/>
  <c r="A357" i="11"/>
  <c r="A358" i="11"/>
  <c r="A359" i="11"/>
  <c r="A360" i="11"/>
  <c r="A361" i="11"/>
  <c r="A362" i="11"/>
  <c r="A363" i="11"/>
  <c r="A364" i="11"/>
  <c r="A365" i="11"/>
  <c r="A366" i="11"/>
  <c r="A367" i="11"/>
  <c r="A368" i="11"/>
  <c r="A369" i="11"/>
  <c r="A370" i="11"/>
  <c r="A371" i="11"/>
  <c r="A372" i="11"/>
  <c r="A373" i="11"/>
  <c r="A374" i="11"/>
  <c r="A375" i="11"/>
  <c r="A376" i="11"/>
  <c r="A377" i="11"/>
  <c r="A378" i="11"/>
  <c r="A379" i="11"/>
  <c r="A380" i="11"/>
  <c r="A381" i="11"/>
  <c r="A382" i="11"/>
  <c r="A383" i="11"/>
  <c r="A384" i="11"/>
  <c r="A385" i="11"/>
  <c r="A386" i="11"/>
  <c r="A387" i="11"/>
  <c r="A388" i="11"/>
  <c r="A389" i="11"/>
  <c r="A390" i="11"/>
  <c r="A391" i="11"/>
  <c r="A392" i="11"/>
  <c r="A393" i="11"/>
  <c r="A394" i="11"/>
  <c r="A395" i="11"/>
  <c r="A396" i="11"/>
  <c r="A397" i="11"/>
  <c r="A398" i="11"/>
  <c r="A399" i="11"/>
  <c r="A400" i="11"/>
  <c r="A401" i="11"/>
  <c r="A402" i="11"/>
  <c r="A403" i="11"/>
  <c r="A404" i="11"/>
  <c r="A405" i="11"/>
  <c r="A406" i="11"/>
  <c r="A407" i="11"/>
  <c r="A408" i="11"/>
  <c r="A409" i="11"/>
  <c r="A410" i="11"/>
  <c r="A411" i="11"/>
  <c r="A412" i="11"/>
  <c r="A413" i="11"/>
  <c r="A414" i="11"/>
  <c r="A415" i="11"/>
  <c r="A416" i="11"/>
  <c r="A417" i="11"/>
  <c r="A418" i="11"/>
  <c r="A419" i="11"/>
  <c r="A420" i="11"/>
  <c r="A421" i="11"/>
  <c r="A422" i="11"/>
  <c r="A423" i="11"/>
  <c r="A424" i="11"/>
  <c r="A425" i="11"/>
  <c r="A426" i="11"/>
  <c r="A427" i="11"/>
  <c r="A428" i="11"/>
  <c r="A429" i="11"/>
  <c r="A430" i="11"/>
  <c r="A431" i="11"/>
  <c r="A432" i="11"/>
  <c r="A433" i="11"/>
  <c r="A434" i="11"/>
  <c r="A435" i="11"/>
  <c r="A436" i="11"/>
  <c r="A437" i="11"/>
  <c r="A438" i="11"/>
  <c r="A439" i="11"/>
  <c r="A440" i="11"/>
  <c r="A441" i="11"/>
  <c r="A442" i="11"/>
  <c r="A443" i="11"/>
  <c r="A444" i="11"/>
  <c r="A445" i="11"/>
  <c r="A446" i="11"/>
  <c r="A447" i="11"/>
  <c r="A448" i="11"/>
  <c r="A449" i="11"/>
  <c r="A450" i="11"/>
  <c r="A451" i="11"/>
  <c r="A452" i="11"/>
  <c r="A453" i="11"/>
  <c r="A454" i="11"/>
  <c r="A455" i="11"/>
  <c r="A456" i="11"/>
  <c r="A457" i="11"/>
  <c r="A458" i="11"/>
  <c r="A459" i="11"/>
  <c r="A460" i="11"/>
  <c r="A461" i="11"/>
  <c r="A462" i="11"/>
  <c r="A463" i="11"/>
  <c r="A464" i="11"/>
  <c r="A465" i="11"/>
  <c r="A466" i="11"/>
  <c r="A467" i="11"/>
  <c r="A468" i="11"/>
  <c r="A469" i="11"/>
  <c r="A470" i="11"/>
  <c r="A471" i="11"/>
  <c r="A472" i="11"/>
  <c r="A473" i="11"/>
  <c r="A474" i="11"/>
  <c r="A475" i="11"/>
  <c r="A476" i="11"/>
  <c r="A477" i="11"/>
  <c r="A478" i="11"/>
  <c r="A479" i="11"/>
  <c r="A480" i="11"/>
  <c r="A481" i="11"/>
  <c r="A482" i="11"/>
  <c r="A483" i="11"/>
  <c r="A484" i="11"/>
  <c r="A485" i="11"/>
  <c r="A486" i="11"/>
  <c r="A487" i="11"/>
  <c r="A488" i="11"/>
  <c r="A489" i="11"/>
  <c r="A490" i="11"/>
  <c r="A491" i="11"/>
  <c r="A492" i="11"/>
  <c r="A493" i="11"/>
  <c r="A494" i="11"/>
  <c r="A495" i="11"/>
  <c r="A496" i="11"/>
  <c r="A497" i="11"/>
  <c r="A498" i="11"/>
  <c r="A499" i="11"/>
  <c r="A500" i="11"/>
  <c r="A501" i="11"/>
  <c r="A502" i="11"/>
  <c r="A503" i="11"/>
  <c r="A504" i="11"/>
  <c r="A505" i="11"/>
  <c r="A506" i="11"/>
  <c r="A507" i="11"/>
  <c r="A508" i="11"/>
  <c r="A509" i="11"/>
  <c r="A510" i="11"/>
  <c r="A511" i="11"/>
  <c r="A512" i="11"/>
  <c r="A513" i="11"/>
  <c r="A514" i="11"/>
  <c r="A515" i="11"/>
  <c r="A516" i="11"/>
  <c r="A517" i="11"/>
  <c r="A518" i="11"/>
  <c r="A519" i="11"/>
  <c r="A520" i="11"/>
  <c r="A521" i="11"/>
  <c r="A522" i="11"/>
  <c r="A523" i="11"/>
  <c r="A524" i="11"/>
  <c r="A525" i="11"/>
  <c r="A526" i="11"/>
  <c r="A527" i="11"/>
  <c r="A528" i="11"/>
  <c r="A529" i="11"/>
  <c r="A530" i="11"/>
  <c r="A531" i="11"/>
  <c r="A532" i="11"/>
  <c r="A533" i="11"/>
  <c r="A534" i="11"/>
  <c r="A535" i="11"/>
  <c r="A536" i="11"/>
  <c r="A537" i="11"/>
  <c r="A538" i="11"/>
  <c r="A539" i="11"/>
  <c r="A540" i="11"/>
  <c r="A541" i="11"/>
  <c r="A542" i="11"/>
  <c r="A543" i="11"/>
  <c r="A544" i="11"/>
  <c r="A545" i="11"/>
  <c r="A546" i="11"/>
  <c r="A547" i="11"/>
  <c r="A548" i="11"/>
  <c r="A549" i="11"/>
  <c r="A550" i="11"/>
  <c r="A551" i="11"/>
  <c r="A552" i="11"/>
  <c r="A553" i="11"/>
  <c r="A554" i="11"/>
  <c r="A555" i="11"/>
  <c r="A556" i="11"/>
  <c r="A557" i="11"/>
  <c r="A558" i="11"/>
  <c r="A559" i="11"/>
  <c r="A560" i="11"/>
  <c r="A561" i="11"/>
  <c r="A562" i="11"/>
  <c r="A563" i="11"/>
  <c r="A564" i="11"/>
  <c r="A565" i="11"/>
  <c r="A566" i="11"/>
  <c r="A567" i="11"/>
  <c r="A568" i="11"/>
  <c r="A569" i="11"/>
  <c r="A570" i="11"/>
  <c r="A571" i="11"/>
  <c r="A572" i="11"/>
  <c r="A573" i="11"/>
  <c r="A574" i="11"/>
  <c r="A575" i="11"/>
  <c r="A576" i="11"/>
  <c r="A577" i="11"/>
  <c r="A578" i="11"/>
  <c r="A579" i="11"/>
  <c r="A580" i="11"/>
  <c r="A581" i="11"/>
  <c r="A582" i="11"/>
  <c r="A583" i="11"/>
  <c r="A584" i="11"/>
  <c r="A585" i="11"/>
  <c r="A586" i="11"/>
  <c r="A587" i="11"/>
  <c r="A588" i="11"/>
  <c r="A589" i="11"/>
  <c r="A590" i="11"/>
  <c r="A591" i="11"/>
  <c r="A592" i="11"/>
  <c r="A593" i="11"/>
  <c r="A594" i="11"/>
  <c r="A595" i="11"/>
  <c r="A596" i="11"/>
  <c r="A597" i="11"/>
  <c r="A598" i="11"/>
  <c r="A599" i="11"/>
  <c r="A600" i="11"/>
  <c r="A601" i="11"/>
  <c r="A602" i="11"/>
  <c r="A603" i="11"/>
  <c r="A604" i="11"/>
  <c r="A605" i="11"/>
  <c r="A606" i="11"/>
  <c r="A607" i="11"/>
  <c r="A608" i="11"/>
  <c r="A609" i="11"/>
  <c r="A610" i="11"/>
  <c r="A611" i="11"/>
  <c r="A612" i="11"/>
  <c r="A613" i="11"/>
  <c r="A614" i="11"/>
  <c r="A615" i="11"/>
  <c r="A616" i="11"/>
  <c r="A617" i="11"/>
  <c r="A618" i="11"/>
  <c r="A619" i="11"/>
  <c r="A620" i="11"/>
  <c r="A621" i="11"/>
  <c r="A622" i="11"/>
  <c r="A623" i="11"/>
  <c r="A624" i="11"/>
  <c r="A625" i="11"/>
  <c r="A626" i="11"/>
  <c r="A627" i="11"/>
  <c r="A628" i="11"/>
  <c r="A629" i="11"/>
  <c r="A630" i="11"/>
  <c r="A631" i="11"/>
  <c r="A632" i="11"/>
  <c r="A633" i="11"/>
  <c r="A634" i="11"/>
  <c r="A635" i="11"/>
  <c r="A636" i="11"/>
  <c r="A637" i="11"/>
  <c r="A638" i="11"/>
  <c r="A639" i="11"/>
  <c r="A640" i="11"/>
  <c r="A641" i="11"/>
  <c r="A642" i="11"/>
  <c r="A643" i="11"/>
  <c r="A644" i="11"/>
  <c r="A645" i="11"/>
  <c r="A646" i="11"/>
  <c r="A647" i="11"/>
  <c r="A648" i="11"/>
  <c r="A649" i="11"/>
  <c r="A650" i="11"/>
  <c r="A5" i="11"/>
  <c r="A4" i="11"/>
  <c r="O379" i="11"/>
  <c r="O380" i="11"/>
  <c r="O381" i="11"/>
  <c r="O382" i="11"/>
  <c r="O383" i="11"/>
  <c r="O384" i="11"/>
  <c r="O385" i="11"/>
  <c r="O534" i="11"/>
  <c r="O619" i="11"/>
  <c r="O572" i="11"/>
  <c r="O94" i="11"/>
  <c r="O478" i="11"/>
  <c r="O522" i="11"/>
  <c r="O430" i="11"/>
  <c r="O467" i="11"/>
  <c r="O439" i="11"/>
  <c r="O177" i="11"/>
  <c r="O535" i="11"/>
  <c r="O73" i="11"/>
  <c r="O175" i="11"/>
  <c r="O178" i="11"/>
  <c r="O199" i="11"/>
  <c r="O564" i="11"/>
  <c r="O620" i="11"/>
  <c r="O176" i="11"/>
  <c r="O147" i="11"/>
  <c r="O200" i="11"/>
  <c r="O399" i="11"/>
  <c r="O440" i="11"/>
  <c r="O507" i="11"/>
  <c r="O386" i="11"/>
  <c r="O387" i="11"/>
  <c r="O134" i="11"/>
  <c r="O213" i="11"/>
</calcChain>
</file>

<file path=xl/sharedStrings.xml><?xml version="1.0" encoding="utf-8"?>
<sst xmlns="http://schemas.openxmlformats.org/spreadsheetml/2006/main" count="7471" uniqueCount="1572">
  <si>
    <t>AVG Management Employee - Master Data</t>
  </si>
  <si>
    <t>Employee Details</t>
  </si>
  <si>
    <t>Supervisor Details</t>
  </si>
  <si>
    <t>Remarks</t>
  </si>
  <si>
    <t>SL</t>
  </si>
  <si>
    <t>Enroll</t>
  </si>
  <si>
    <t>Name</t>
  </si>
  <si>
    <t>Designation</t>
  </si>
  <si>
    <t>Department</t>
  </si>
  <si>
    <t>Date of Joining</t>
  </si>
  <si>
    <t>Job Station</t>
  </si>
  <si>
    <t>Job Tenure</t>
  </si>
  <si>
    <t>Email</t>
  </si>
  <si>
    <t>Unit</t>
  </si>
  <si>
    <t>Personal Number</t>
  </si>
  <si>
    <t>Official Number</t>
  </si>
  <si>
    <t>Supervisors' Enroll</t>
  </si>
  <si>
    <t>Supervisors' Name</t>
  </si>
  <si>
    <t>Supervisors' Designation</t>
  </si>
  <si>
    <t>Supervisors' Email</t>
  </si>
  <si>
    <t>Designation Status</t>
  </si>
  <si>
    <t>Department &amp; Section Head Status</t>
  </si>
  <si>
    <t>Concened Department/ Team</t>
  </si>
  <si>
    <t>Md. Kamrul Hasan</t>
  </si>
  <si>
    <t>Assistant Manager</t>
  </si>
  <si>
    <t>Accounts And Finance</t>
  </si>
  <si>
    <t>AFBL, Corporate Office</t>
  </si>
  <si>
    <t>kamrul1@akijfood.com</t>
  </si>
  <si>
    <t>AFBL</t>
  </si>
  <si>
    <t>Md. Jewel Sharif</t>
  </si>
  <si>
    <t>Manager</t>
  </si>
  <si>
    <t>jewel@akijfood.com</t>
  </si>
  <si>
    <t>Senior Manager &amp; Below</t>
  </si>
  <si>
    <t>Other Employees</t>
  </si>
  <si>
    <t>Saleh Newaz</t>
  </si>
  <si>
    <t>Senior Executive</t>
  </si>
  <si>
    <t>newaz1@akijfood.com</t>
  </si>
  <si>
    <t xml:space="preserve">Prince Mahmud </t>
  </si>
  <si>
    <t>Junior Executive</t>
  </si>
  <si>
    <t>prince.mahmud@akijfood.com</t>
  </si>
  <si>
    <t>S A F Md Ahad</t>
  </si>
  <si>
    <t xml:space="preserve">fazal.ahad@akijfood.com </t>
  </si>
  <si>
    <t> </t>
  </si>
  <si>
    <t>Md. Farzat Hossain Sabbir</t>
  </si>
  <si>
    <t>farzat.sabbir@akijfood.com</t>
  </si>
  <si>
    <t>Md. Monour Hossain</t>
  </si>
  <si>
    <t>monour.hossain@akijfood.com</t>
  </si>
  <si>
    <t>S M Zahid Hasan</t>
  </si>
  <si>
    <t>Executive</t>
  </si>
  <si>
    <t>zahid.hasan@akijfood.com</t>
  </si>
  <si>
    <t>Md. Oliul Ahad</t>
  </si>
  <si>
    <t>oliul.ahad@akijfood.com</t>
  </si>
  <si>
    <t>Md. Amirul Alam</t>
  </si>
  <si>
    <t>amirul.alam@akijfood.com</t>
  </si>
  <si>
    <t>01880614477</t>
  </si>
  <si>
    <t>Al Syem Md. Toukir</t>
  </si>
  <si>
    <t>ADL, Corporate Office</t>
  </si>
  <si>
    <t>syem.toukir@akijdairy.net</t>
  </si>
  <si>
    <t>ADL</t>
  </si>
  <si>
    <t>01672861253</t>
  </si>
  <si>
    <t>Habibur Rahman</t>
  </si>
  <si>
    <t>Deputy Manager</t>
  </si>
  <si>
    <t>habib@akijfood.com</t>
  </si>
  <si>
    <t>Nazmul Hasan Nader</t>
  </si>
  <si>
    <t>nazmul.nader@akijfood.com</t>
  </si>
  <si>
    <t>01715204701</t>
  </si>
  <si>
    <t>Nazmun Nahar</t>
  </si>
  <si>
    <t>nazmun@akijfood.com</t>
  </si>
  <si>
    <t>Md Mozammel Haque</t>
  </si>
  <si>
    <t>mozammel@akijfood.com</t>
  </si>
  <si>
    <t>Mahabubur Rahman</t>
  </si>
  <si>
    <t>mahabubur@akijfood.com</t>
  </si>
  <si>
    <t>Shakil Ahammed</t>
  </si>
  <si>
    <t>shakil1@akijfood.com</t>
  </si>
  <si>
    <t>Mohammad Asaduzzaman Riad</t>
  </si>
  <si>
    <t>asaduzzaman.riad@akijfood.com</t>
  </si>
  <si>
    <t>Nasir Uddin</t>
  </si>
  <si>
    <t>nasir.uddin1@akijfood.com</t>
  </si>
  <si>
    <t>Md. Hasanuzzaman Shovon</t>
  </si>
  <si>
    <t>hasanuzzaman.shovon@akijfood.com</t>
  </si>
  <si>
    <t>Rupok Ahmed</t>
  </si>
  <si>
    <t>rupok.ahmed@akijfood.com</t>
  </si>
  <si>
    <t>Shahidul Islam Chowdhury</t>
  </si>
  <si>
    <t>shahidul.chowdhury@akijfood.com</t>
  </si>
  <si>
    <t>01753696065</t>
  </si>
  <si>
    <t>Ismail Hossain</t>
  </si>
  <si>
    <t>ismail.hossain@akijfood.com</t>
  </si>
  <si>
    <t>01788955525</t>
  </si>
  <si>
    <t>Md. Atikqur Rahman</t>
  </si>
  <si>
    <t>atiqur.rahman2@akijfood.com</t>
  </si>
  <si>
    <t>01677441081</t>
  </si>
  <si>
    <t>Sanjid Hossain</t>
  </si>
  <si>
    <t>sanjid@akijfood.com</t>
  </si>
  <si>
    <t>Amit Saha</t>
  </si>
  <si>
    <t>Assistant General Manager</t>
  </si>
  <si>
    <t>amit1@akijfood.com</t>
  </si>
  <si>
    <t>Mahmud Al Muktadir</t>
  </si>
  <si>
    <t>mahmud.muktadir@akijfood.com</t>
  </si>
  <si>
    <t>Shaffat Ahmed</t>
  </si>
  <si>
    <t>shaffat.ahmed@akijfood.com</t>
  </si>
  <si>
    <t>HM Rahat Hossain Apurbo</t>
  </si>
  <si>
    <t>rahat.apurbo@akijfood.com</t>
  </si>
  <si>
    <t>01536114814</t>
  </si>
  <si>
    <t>Md. Moklesur Rahman</t>
  </si>
  <si>
    <t>moklesur@akijfood.com</t>
  </si>
  <si>
    <t>Md. Shaidul Islam</t>
  </si>
  <si>
    <t>Deputy General Manager</t>
  </si>
  <si>
    <t>shaidul@akijfood.com</t>
  </si>
  <si>
    <t>Md. Kaysar Hossen</t>
  </si>
  <si>
    <t>kaysar@akijvg.net</t>
  </si>
  <si>
    <t>Rakib Uddin Mozumder</t>
  </si>
  <si>
    <t>rakib.uddin@akijfood.com</t>
  </si>
  <si>
    <t>Md. Zakir Hossain</t>
  </si>
  <si>
    <t>AVL, Corporate Office</t>
  </si>
  <si>
    <t>zakir3@akijvg.net</t>
  </si>
  <si>
    <t>AVL</t>
  </si>
  <si>
    <t>Najmunnaher Suite</t>
  </si>
  <si>
    <t>najmunnaher@akijvg.net</t>
  </si>
  <si>
    <t>Afiqur Rahman</t>
  </si>
  <si>
    <t>afiqur@akijfood.com</t>
  </si>
  <si>
    <t>Md. Moklesur Rahman Akhtar</t>
  </si>
  <si>
    <t>CFO</t>
  </si>
  <si>
    <t>moklesur.akhtar@akijfood.com</t>
  </si>
  <si>
    <t>AGM &amp; Above</t>
  </si>
  <si>
    <t>Department &amp; Section Head</t>
  </si>
  <si>
    <t>VAT &amp; Tax</t>
  </si>
  <si>
    <t>Munan Ahmed</t>
  </si>
  <si>
    <t>munan.ahmed@akijfood.com</t>
  </si>
  <si>
    <t>Shafique Uddin Ahmed</t>
  </si>
  <si>
    <t>General Manager</t>
  </si>
  <si>
    <t>shafique.ahmed@akijfood.com</t>
  </si>
  <si>
    <t>Accounts Head - Foods</t>
  </si>
  <si>
    <t>Nurun Nahar Munny</t>
  </si>
  <si>
    <t>nurunnahar@akijvg.net</t>
  </si>
  <si>
    <t>Asraful Alam</t>
  </si>
  <si>
    <t>ABIL, Corporate Office</t>
  </si>
  <si>
    <t>asraful.alam@akijbicycle.com</t>
  </si>
  <si>
    <t>ABIL</t>
  </si>
  <si>
    <t>Muhammad Mahmud Hossain</t>
  </si>
  <si>
    <t>mahmud@akijfood.com</t>
  </si>
  <si>
    <t>Al Amin Miji</t>
  </si>
  <si>
    <t>amin.miji@akijbicycle.com</t>
  </si>
  <si>
    <t>01712398286</t>
  </si>
  <si>
    <t>Md. Aurangojeb</t>
  </si>
  <si>
    <t>AHHL, Corporate Office</t>
  </si>
  <si>
    <t>aurangojeb@akijvg.net</t>
  </si>
  <si>
    <t>AHHL</t>
  </si>
  <si>
    <t>Md. Maksuder Rahman</t>
  </si>
  <si>
    <t>maksuder.rahman@akijvg.net</t>
  </si>
  <si>
    <t>Md. Aliur Rahman</t>
  </si>
  <si>
    <t>aliur@akijvg.net</t>
  </si>
  <si>
    <t>Nazmul Hossain</t>
  </si>
  <si>
    <t>AEEL, Corporate Office</t>
  </si>
  <si>
    <t>nazmul.hossain@akijee.com</t>
  </si>
  <si>
    <t>AEEL</t>
  </si>
  <si>
    <t>Arif Ahmed</t>
  </si>
  <si>
    <t>ABEL, Corporate</t>
  </si>
  <si>
    <t>arif.ahmed@akijbicycle.com</t>
  </si>
  <si>
    <t>ABEL</t>
  </si>
  <si>
    <t>Md. Amzad Hossain Mazumder</t>
  </si>
  <si>
    <t>amzad.mazumder@akijee.com</t>
  </si>
  <si>
    <t>Md. Robiul Karim</t>
  </si>
  <si>
    <t>AMT, Corporate Office</t>
  </si>
  <si>
    <t>robiulkarim@akijvg.net</t>
  </si>
  <si>
    <t>AMT</t>
  </si>
  <si>
    <t>Md. Golam Kibria Khan</t>
  </si>
  <si>
    <t>APML, Corporate</t>
  </si>
  <si>
    <t>kibriakhan@akijppl.net</t>
  </si>
  <si>
    <t>APML</t>
  </si>
  <si>
    <t>01915694199</t>
  </si>
  <si>
    <t>Md. Rabiul Awal</t>
  </si>
  <si>
    <t>AREAL, Corporate Office</t>
  </si>
  <si>
    <t>rabiul.awal@akijvg.net</t>
  </si>
  <si>
    <t>AREAL</t>
  </si>
  <si>
    <t>01568094978</t>
  </si>
  <si>
    <t>Chairman Sir</t>
  </si>
  <si>
    <t>Accounts And Finance (Head)</t>
  </si>
  <si>
    <t>Muhammad Fuad Hussain</t>
  </si>
  <si>
    <t>Director</t>
  </si>
  <si>
    <t>fuad@akijfood.com</t>
  </si>
  <si>
    <t>Mantu Halder</t>
  </si>
  <si>
    <t>Admin</t>
  </si>
  <si>
    <t>mantu@akijfood.com</t>
  </si>
  <si>
    <t>Monir Ahmed</t>
  </si>
  <si>
    <t>monir@akijfood.com</t>
  </si>
  <si>
    <t>Md. Lutful Bary Abir</t>
  </si>
  <si>
    <t>bary@akijfood.com</t>
  </si>
  <si>
    <t>Md. Abdulla Al Mamun Sazal</t>
  </si>
  <si>
    <t>sazal@akijvg.net</t>
  </si>
  <si>
    <t>Md. Abu Sayed Chowdhary</t>
  </si>
  <si>
    <t>AFBL,Panthapath</t>
  </si>
  <si>
    <t>md.abu@akijfood.com</t>
  </si>
  <si>
    <t>Md. Rabbi Rahman</t>
  </si>
  <si>
    <t>rabbi.rahman@akijfood.com</t>
  </si>
  <si>
    <t>Md. Liton Miah</t>
  </si>
  <si>
    <t>liton.miah@akijfood.com</t>
  </si>
  <si>
    <t>Mehedi Hasan</t>
  </si>
  <si>
    <t>mehedi.hasan4@akijfood.com</t>
  </si>
  <si>
    <t>Mst. Tasmin</t>
  </si>
  <si>
    <t/>
  </si>
  <si>
    <t>01733163222</t>
  </si>
  <si>
    <t>Md. Shohel Rana</t>
  </si>
  <si>
    <t>shohel.rana@akijfood.com</t>
  </si>
  <si>
    <t>Md. Nazmul Hossain</t>
  </si>
  <si>
    <t>nazmul.hossain1@akijfood.com</t>
  </si>
  <si>
    <t>Sadia Islam Runa</t>
  </si>
  <si>
    <t>sadia.runa@akijfood.com</t>
  </si>
  <si>
    <t>Md. Abu Bokar Seddik</t>
  </si>
  <si>
    <t>AFBL,Corporate Office(Boliarpur)</t>
  </si>
  <si>
    <t>abu.seddik@akijfood.com</t>
  </si>
  <si>
    <t>Syed Johurul Alam</t>
  </si>
  <si>
    <t>Chief Executive Officer</t>
  </si>
  <si>
    <t>syed.johurul@akijfood.com</t>
  </si>
  <si>
    <t>Admin (Head)</t>
  </si>
  <si>
    <t>Md. Arman Khan</t>
  </si>
  <si>
    <t>arman.khan@akijfood.com</t>
  </si>
  <si>
    <t>Md. Amdadul Haque</t>
  </si>
  <si>
    <t>amdadul.haque@akijfood.com</t>
  </si>
  <si>
    <t>Faria Jannat</t>
  </si>
  <si>
    <t>Physiotherapist</t>
  </si>
  <si>
    <t>faria@akijfood.com</t>
  </si>
  <si>
    <t>Anija Kabir</t>
  </si>
  <si>
    <t>Architectural Planning &amp; Design</t>
  </si>
  <si>
    <t>anija.kabir@akijvg.net</t>
  </si>
  <si>
    <t>Shafrin Sultana Biva</t>
  </si>
  <si>
    <t>shafrin@akijvg.net</t>
  </si>
  <si>
    <t>Riyana Rahaman</t>
  </si>
  <si>
    <t>riyana.rahaman@akijfood.com</t>
  </si>
  <si>
    <t>Sayed Joynul Abedin</t>
  </si>
  <si>
    <t>sayedjoynul@akijvg.net</t>
  </si>
  <si>
    <t>Md. Shahriar Reza</t>
  </si>
  <si>
    <t>Brand</t>
  </si>
  <si>
    <t>shahriar@akijdairy.net</t>
  </si>
  <si>
    <t>Abu Nasar Zahid Al Mahmud</t>
  </si>
  <si>
    <t>zahid@akijfood.com</t>
  </si>
  <si>
    <t>Brand (Dairy)</t>
  </si>
  <si>
    <t>Md. Morshed Alam</t>
  </si>
  <si>
    <t>morshed.alam@akijdairy.net</t>
  </si>
  <si>
    <t>Mohammad Rakib Ahmed</t>
  </si>
  <si>
    <t>AALL, Corporate</t>
  </si>
  <si>
    <t>rakib@akijvg.net</t>
  </si>
  <si>
    <t>AALL</t>
  </si>
  <si>
    <t>Md. Maruf Ahmed</t>
  </si>
  <si>
    <t>mahmed@akijfood.com</t>
  </si>
  <si>
    <t xml:space="preserve">Mohammad Takbir Hasan </t>
  </si>
  <si>
    <t>takbir.hasan@akijagro.net</t>
  </si>
  <si>
    <t>Brand (AALL)</t>
  </si>
  <si>
    <t>B.M. Asif Zaman Mishel</t>
  </si>
  <si>
    <t>asif.mishel@akijfood.com</t>
  </si>
  <si>
    <t>Adnan Shafiq</t>
  </si>
  <si>
    <t>Senior Manager</t>
  </si>
  <si>
    <t>shafiq@akijfood.com</t>
  </si>
  <si>
    <t>Imran Kaisar</t>
  </si>
  <si>
    <t>imran.kaisar@akijfood.com</t>
  </si>
  <si>
    <t>Abdul Aziz</t>
  </si>
  <si>
    <t>aziz@akijfood.com</t>
  </si>
  <si>
    <t>Md. Fahiem Haque</t>
  </si>
  <si>
    <t>fahiem.haque@akijhealthcare.com</t>
  </si>
  <si>
    <t>Rezaul Karim</t>
  </si>
  <si>
    <t>Sr. General Manager</t>
  </si>
  <si>
    <t>rezaul2@akijhealthcare.com</t>
  </si>
  <si>
    <t>Marketing (AHHL)</t>
  </si>
  <si>
    <t>Md. Riaz</t>
  </si>
  <si>
    <t>md.riaz@akijfood.com</t>
  </si>
  <si>
    <t>Md. Mijanur Rahman</t>
  </si>
  <si>
    <t>mijanur@ampublication.com</t>
  </si>
  <si>
    <t>Redoan Ahmmad</t>
  </si>
  <si>
    <t>redoan.ahmmad@akijee.com</t>
  </si>
  <si>
    <t>Asaduzzaman</t>
  </si>
  <si>
    <t>asaduzzaman@akijee.com</t>
  </si>
  <si>
    <t>Ashik Ahmmed All Masud</t>
  </si>
  <si>
    <t>ashik.ahmed@akijfood.com</t>
  </si>
  <si>
    <t>Mohammad Nazrul Islam</t>
  </si>
  <si>
    <t>nazrul.islam1@akijfood.com</t>
  </si>
  <si>
    <t>S.M. Mehedi All Sheraji (Shiblu)</t>
  </si>
  <si>
    <t>sheraji@akijfood.com</t>
  </si>
  <si>
    <t>S. M. Muqtadirul Huq</t>
  </si>
  <si>
    <t>muqtadirul.huq@akijbicycle.com</t>
  </si>
  <si>
    <t>Tashfeen Ahmad</t>
  </si>
  <si>
    <t>AREAL, Corporate Office(Panthapath)</t>
  </si>
  <si>
    <t>tashfeen.ahmad@akijvg.net</t>
  </si>
  <si>
    <t>Sadia Sharmin Badhan</t>
  </si>
  <si>
    <t>NL, Corporate Office(Kazipara)</t>
  </si>
  <si>
    <t>sadia.badhan@neoscoder.com</t>
  </si>
  <si>
    <t>NL</t>
  </si>
  <si>
    <t>Tahmid Alam</t>
  </si>
  <si>
    <t>MD &amp; CEO</t>
  </si>
  <si>
    <t>tahmid.alam@neoscoder.com</t>
  </si>
  <si>
    <t>Brand (Mojo)</t>
  </si>
  <si>
    <t>Brand (Clemon, Mohito, Akij Drinking water)</t>
  </si>
  <si>
    <t>Brand (Speed, Wild brew)</t>
  </si>
  <si>
    <t>Mohd. Tasneem Choudhury</t>
  </si>
  <si>
    <t>tasneem@akijvg.net</t>
  </si>
  <si>
    <t>Mohammad Yeasin Ullah</t>
  </si>
  <si>
    <t>yeasin@akijvg.net</t>
  </si>
  <si>
    <t>Fauzia Sultana</t>
  </si>
  <si>
    <t>fauzia.sultana@akijhealthcare.com</t>
  </si>
  <si>
    <t>Sharif Md. Rifatuzzaman</t>
  </si>
  <si>
    <t>md.sharif@akijfood.com</t>
  </si>
  <si>
    <t>Md. Atikur Rahman</t>
  </si>
  <si>
    <t>atikur1@akijfood.com</t>
  </si>
  <si>
    <t>Shahadat Hossain Mehedi</t>
  </si>
  <si>
    <t>Business Development &amp; Research</t>
  </si>
  <si>
    <t>shahadat.mehedi@akijfood.com</t>
  </si>
  <si>
    <t>Md. Abdullah-Al-Mamun</t>
  </si>
  <si>
    <t>mamun@akijfood.com</t>
  </si>
  <si>
    <t xml:space="preserve">Ajmain Abresam </t>
  </si>
  <si>
    <t>ajmain.abresam@akijfood.com</t>
  </si>
  <si>
    <t xml:space="preserve">Pritom Ghosh </t>
  </si>
  <si>
    <t>pritom@akijfood.com</t>
  </si>
  <si>
    <t>01971-309942</t>
  </si>
  <si>
    <t>Md. Abdul Hai Bhuyan</t>
  </si>
  <si>
    <t>abdul2@akijfood.com</t>
  </si>
  <si>
    <t>Estiak Ahmed</t>
  </si>
  <si>
    <t>estiak@akijfood.com</t>
  </si>
  <si>
    <t>Md Saymum Joynal</t>
  </si>
  <si>
    <t>saymum.joynal@akijfood.com</t>
  </si>
  <si>
    <t>Tanvir Hassan Shakil</t>
  </si>
  <si>
    <t>tanvir.shakil@akijhealthcare.com</t>
  </si>
  <si>
    <t>Hasib Ahmed</t>
  </si>
  <si>
    <t>hasib.ahmed@akijbicycle.com</t>
  </si>
  <si>
    <t>Tahmid Ahmad Mojumder</t>
  </si>
  <si>
    <t>Management Trainee Officer</t>
  </si>
  <si>
    <t>tahmid.mojumder@akijfood.com</t>
  </si>
  <si>
    <t>Md. Jakaria Khan</t>
  </si>
  <si>
    <t>jakaria.khan@akijfood.com</t>
  </si>
  <si>
    <t>01881494087</t>
  </si>
  <si>
    <t>Business Development &amp; Research (Head)</t>
  </si>
  <si>
    <t>Sadik Farhan</t>
  </si>
  <si>
    <t>Chairman Office</t>
  </si>
  <si>
    <t>sadik.farhan@akijfood.com</t>
  </si>
  <si>
    <t>Md. Nazmus Saquib</t>
  </si>
  <si>
    <t>nazmus@akijfood.com</t>
  </si>
  <si>
    <t xml:space="preserve">Bivash Adhikary </t>
  </si>
  <si>
    <t>bivash.adhikary@akijfood.com</t>
  </si>
  <si>
    <t>01766989382</t>
  </si>
  <si>
    <t>Tuhinul Hasan Limon</t>
  </si>
  <si>
    <t>tuhinul.hasan@akijfood.com</t>
  </si>
  <si>
    <t>Shuvo Mukherjee</t>
  </si>
  <si>
    <t>Civil</t>
  </si>
  <si>
    <t>shuvo1@akijfood.com</t>
  </si>
  <si>
    <t>Sheikh Shahed Ahmed</t>
  </si>
  <si>
    <t>shahed@akijfood.com</t>
  </si>
  <si>
    <t>Mohammad Saiful Islam</t>
  </si>
  <si>
    <t>saiful.islam11@akijfood.com</t>
  </si>
  <si>
    <t>Rasel Rana</t>
  </si>
  <si>
    <t>rasel4@akijvg.net</t>
  </si>
  <si>
    <t>A K M Anamoul Haque</t>
  </si>
  <si>
    <t>TPL, Corporate Office</t>
  </si>
  <si>
    <t>anamoul.anam@akijvg.net</t>
  </si>
  <si>
    <t>TPL</t>
  </si>
  <si>
    <t>Mohammed Alamgir Chowdhury</t>
  </si>
  <si>
    <t>alamgir.chowdhury@akijvg.net</t>
  </si>
  <si>
    <t>Md. Mahdi Hasan</t>
  </si>
  <si>
    <t>mahdi.hasan@akijvg.net</t>
  </si>
  <si>
    <t>Md. Touhidul Haque Alif</t>
  </si>
  <si>
    <t>touhidul.alif@akijvg.net</t>
  </si>
  <si>
    <t>Md. Anamul Hoque</t>
  </si>
  <si>
    <t>Clemon Sports</t>
  </si>
  <si>
    <t>anamul@akijfood.com</t>
  </si>
  <si>
    <t>Md. Golam Kibria</t>
  </si>
  <si>
    <t>kibria@akijfood.com</t>
  </si>
  <si>
    <t>Md. Khaled Mashud Pilot</t>
  </si>
  <si>
    <t>Chief Operating Officer</t>
  </si>
  <si>
    <t>pilot@akijfood.com</t>
  </si>
  <si>
    <t>Mohammad Alamgir Hossain</t>
  </si>
  <si>
    <t>alamgir@akijfood.com</t>
  </si>
  <si>
    <t>Md. Shourav Uddin</t>
  </si>
  <si>
    <t>shourav@akijfood.com</t>
  </si>
  <si>
    <t>Kazi Wasikul Islam</t>
  </si>
  <si>
    <t>kazi.wasikul@akijfood.com</t>
  </si>
  <si>
    <t>Md. Reaaz Uddin Uddin</t>
  </si>
  <si>
    <t>reaz.uddin@akijfood.com</t>
  </si>
  <si>
    <t>Sazmin Sultana</t>
  </si>
  <si>
    <t>Deputy Managing Director</t>
  </si>
  <si>
    <t>Clemon Sports  (Head)</t>
  </si>
  <si>
    <t>Mir Tariqul Islam</t>
  </si>
  <si>
    <t>Commercial</t>
  </si>
  <si>
    <t>tariqul1@akijfood.com</t>
  </si>
  <si>
    <t>Waliul Nachhir</t>
  </si>
  <si>
    <t>waliul@akijfood.com</t>
  </si>
  <si>
    <t>Abdullah Al Mamun</t>
  </si>
  <si>
    <t>abdullahal@akijfood.com</t>
  </si>
  <si>
    <t>Masud Hossen</t>
  </si>
  <si>
    <t>masud.hossen@akijbicycle.com</t>
  </si>
  <si>
    <t>Abu Roshed Solaiman</t>
  </si>
  <si>
    <t>abu.solaiman@akijfood.com</t>
  </si>
  <si>
    <t>Commercial (Head of SCM)</t>
  </si>
  <si>
    <t>Md. Jahidul Islam</t>
  </si>
  <si>
    <t>jahidul@akijfood.com</t>
  </si>
  <si>
    <t>Tasnim Jahan Audita</t>
  </si>
  <si>
    <t>audita@akijfood.com</t>
  </si>
  <si>
    <t>Zahid Hasan Akash</t>
  </si>
  <si>
    <t>hasan.akash@akijfood.com</t>
  </si>
  <si>
    <t>Md. Babul Hossain</t>
  </si>
  <si>
    <t>md.babul@akijfood.com</t>
  </si>
  <si>
    <t>Rubel Md. Rafiqul Islam</t>
  </si>
  <si>
    <t>rafiqul.islam@akijfood.com</t>
  </si>
  <si>
    <t>Md. Robin Hosen</t>
  </si>
  <si>
    <t>md.robin@akijfood.com</t>
  </si>
  <si>
    <t>Md. Billal Hossaion</t>
  </si>
  <si>
    <t>billal@akijfood.com</t>
  </si>
  <si>
    <t>Md. Sultanul Arafin</t>
  </si>
  <si>
    <t xml:space="preserve">Cooler Management </t>
  </si>
  <si>
    <t>sultan@akijfood.com</t>
  </si>
  <si>
    <t>Md. Saiful Islam</t>
  </si>
  <si>
    <t>saiful@akijfood.com</t>
  </si>
  <si>
    <t>Sajal Mia</t>
  </si>
  <si>
    <t>sajal@akijfood.com</t>
  </si>
  <si>
    <t>Md. Akib Hossain</t>
  </si>
  <si>
    <t>akib@akijfood.com</t>
  </si>
  <si>
    <t>Md. Nazmul Hossen</t>
  </si>
  <si>
    <t>nazmulhossen@akijfood.com</t>
  </si>
  <si>
    <t>Md. Obaidullah</t>
  </si>
  <si>
    <t>obaidullah@akijfood.com</t>
  </si>
  <si>
    <t>Md. Fahim Akand</t>
  </si>
  <si>
    <t>fahimakan@akijfood.com</t>
  </si>
  <si>
    <t>Md. Foridul Islam Shagor</t>
  </si>
  <si>
    <t>foridul.shagor@akijfood.com</t>
  </si>
  <si>
    <t>Md. Tasnimul Hassan Tanvir</t>
  </si>
  <si>
    <t>md.tanvir@akijfood.com</t>
  </si>
  <si>
    <t>Sazeeb Saha</t>
  </si>
  <si>
    <t>sazeeb.saha@akijfood.com</t>
  </si>
  <si>
    <t>Cooler Management (Head)</t>
  </si>
  <si>
    <t>Md. Abul Khair</t>
  </si>
  <si>
    <t>Corporate Affairs</t>
  </si>
  <si>
    <t>khair@akijfood.com</t>
  </si>
  <si>
    <t xml:space="preserve">Major Khan Mohammad Abdullah Al Rashed Ul Arefin </t>
  </si>
  <si>
    <t>rashed.arefin@akijfood.com</t>
  </si>
  <si>
    <t>Md. Yeasin Akon</t>
  </si>
  <si>
    <t>yeasin.akon@akijfood.com</t>
  </si>
  <si>
    <t>Corporate Affairs (Head)</t>
  </si>
  <si>
    <t>Mst.  Suhi Akter</t>
  </si>
  <si>
    <t>Creative</t>
  </si>
  <si>
    <t>suhi.akter@akijfood.com</t>
  </si>
  <si>
    <t>Md. Rafiqul Islam</t>
  </si>
  <si>
    <t>rafiqul@akijfood.com</t>
  </si>
  <si>
    <t>babul@akijfood.com</t>
  </si>
  <si>
    <t>Md. Anower Morshed</t>
  </si>
  <si>
    <t>anower@akijfood.com</t>
  </si>
  <si>
    <t>Richard Shorave Sunny</t>
  </si>
  <si>
    <t>shorave@akijfood.com</t>
  </si>
  <si>
    <t>Akash Chowdhury</t>
  </si>
  <si>
    <t>akash@akijfood.com</t>
  </si>
  <si>
    <t>Mamunur Rashid</t>
  </si>
  <si>
    <t>rashid3@akijfood.com</t>
  </si>
  <si>
    <t>Ziasmin Khatun</t>
  </si>
  <si>
    <t>ziasmin@akijfood.com</t>
  </si>
  <si>
    <t>Sree Nandan Paul</t>
  </si>
  <si>
    <t>sree.paul@akijfood.com</t>
  </si>
  <si>
    <t>Al Maruf</t>
  </si>
  <si>
    <t>al.maruf@akijfood.com</t>
  </si>
  <si>
    <t>Shakil Sobahane Naim</t>
  </si>
  <si>
    <t>shakil.naim@akijee.com</t>
  </si>
  <si>
    <t>Setu Molla</t>
  </si>
  <si>
    <t>Setu.molla@akijhealthcare.com</t>
  </si>
  <si>
    <t>Creative (Head)</t>
  </si>
  <si>
    <t>Head of Business</t>
  </si>
  <si>
    <t>Dairy Operations</t>
  </si>
  <si>
    <t>Head of Business, ADL</t>
  </si>
  <si>
    <t>Newaz Mohammed Hasan</t>
  </si>
  <si>
    <t>Digital Marketing</t>
  </si>
  <si>
    <t>newaz@akijfood.com</t>
  </si>
  <si>
    <t>Mohammad Maidul Islam</t>
  </si>
  <si>
    <t>Business Head</t>
  </si>
  <si>
    <t>maidul@akijee.com</t>
  </si>
  <si>
    <t>Md. Golam Kibriya</t>
  </si>
  <si>
    <t>kibriya@akijfood.com</t>
  </si>
  <si>
    <t>Shehab Al Mamun</t>
  </si>
  <si>
    <t>shehab.mamun@akijfood.com</t>
  </si>
  <si>
    <t>Tasnim Ahmed</t>
  </si>
  <si>
    <t>AFVL, Panthapath</t>
  </si>
  <si>
    <t>tasnim.ahmed@akijfairvalue.com</t>
  </si>
  <si>
    <t>AFVL</t>
  </si>
  <si>
    <t>01747095214</t>
  </si>
  <si>
    <t>Abir Ahmed</t>
  </si>
  <si>
    <t>abir.ahmed@akijfairvalue.com</t>
  </si>
  <si>
    <t>Samira Azmeri</t>
  </si>
  <si>
    <t>samira.shoshi@akijfairvalue.com</t>
  </si>
  <si>
    <t>01772686054</t>
  </si>
  <si>
    <t>Md. Golam Saklain</t>
  </si>
  <si>
    <t>golam.saklain@akijfood.com</t>
  </si>
  <si>
    <t>Mehraj Hossen</t>
  </si>
  <si>
    <t>meheraj.hossen@akijfood.com</t>
  </si>
  <si>
    <t>Bipro Das Gunjan</t>
  </si>
  <si>
    <t>bipro.gunjan@akijfood.com</t>
  </si>
  <si>
    <t>Mehedi Islam</t>
  </si>
  <si>
    <t>mehedi.islam@akijfood.com</t>
  </si>
  <si>
    <t>Sulaiman Abbas</t>
  </si>
  <si>
    <t>sulaiman.abbas@akijfood.com</t>
  </si>
  <si>
    <t>Nazifa Tabassum</t>
  </si>
  <si>
    <t>nazifa.tabassum@akijfood.com</t>
  </si>
  <si>
    <t>01703547330</t>
  </si>
  <si>
    <t>Shaila Sharmin</t>
  </si>
  <si>
    <t>shaila.sharmin@akijfood.com</t>
  </si>
  <si>
    <t>01303368469</t>
  </si>
  <si>
    <t>Md. Rafequl Islam</t>
  </si>
  <si>
    <t>rafequl.islam@akijfood.com</t>
  </si>
  <si>
    <t>01676160019</t>
  </si>
  <si>
    <t>Rifah Tamanna Aurpa</t>
  </si>
  <si>
    <t>rifah.aurpa@akijfood.com</t>
  </si>
  <si>
    <t>01922559938</t>
  </si>
  <si>
    <t>Digital Marketing (Head)</t>
  </si>
  <si>
    <t>Puravi Debnath Nitu</t>
  </si>
  <si>
    <t>puravi.nitu@akijfood.com</t>
  </si>
  <si>
    <t>01629024600</t>
  </si>
  <si>
    <t>Md. Fayeajul Islam</t>
  </si>
  <si>
    <t>Distribution</t>
  </si>
  <si>
    <t>fayeajul@akijfood.com</t>
  </si>
  <si>
    <t>Uttpol Nandi</t>
  </si>
  <si>
    <t>uttpol@akijfood.com</t>
  </si>
  <si>
    <t>Shakil Md. Imtiaz</t>
  </si>
  <si>
    <t>imtiaz@akijfood.com</t>
  </si>
  <si>
    <t>Md. Wahidur Rahman</t>
  </si>
  <si>
    <t>wahid@akijfood.com</t>
  </si>
  <si>
    <t>Md. Rafsan Sharif</t>
  </si>
  <si>
    <t>rafsan@akijfood.com</t>
  </si>
  <si>
    <t>Shiblu Chandra Das</t>
  </si>
  <si>
    <t>shiblu@akijfood.com</t>
  </si>
  <si>
    <t>Md. Kamruzzaman</t>
  </si>
  <si>
    <t>Event</t>
  </si>
  <si>
    <t>kamruzzaman@akijfood.com</t>
  </si>
  <si>
    <t>Azam Bin Tareq</t>
  </si>
  <si>
    <t>azam@akijfood.com</t>
  </si>
  <si>
    <t>Sadibur Rahman Khan</t>
  </si>
  <si>
    <t>sadibur@akijfood.com</t>
  </si>
  <si>
    <t>Md. Abu Sufian</t>
  </si>
  <si>
    <t>sufian@akijfood.com</t>
  </si>
  <si>
    <t>Razib Mazumder</t>
  </si>
  <si>
    <t>rajib1@akijfood.com</t>
  </si>
  <si>
    <t>A.F.M Akram Hossain Khan</t>
  </si>
  <si>
    <t>akram.khan@akijfood.com</t>
  </si>
  <si>
    <t>Abul Hasnat</t>
  </si>
  <si>
    <t>AHHL, Panthapath</t>
  </si>
  <si>
    <t>abul.hasnat@akijhealthcare.com</t>
  </si>
  <si>
    <t>Md. Kawsar Ahammed</t>
  </si>
  <si>
    <t>kawsar.ahmmed@akijhealthcare.com</t>
  </si>
  <si>
    <t>Md. Mahbub Alam</t>
  </si>
  <si>
    <t>ABEL, Panthapath</t>
  </si>
  <si>
    <t>mahbub.aronno@akijbicycle.com</t>
  </si>
  <si>
    <t xml:space="preserve">Abdullah Alam </t>
  </si>
  <si>
    <t>Export</t>
  </si>
  <si>
    <t>AFBL, Corporate Office(Niketon)</t>
  </si>
  <si>
    <t>abdullah4@akijfood.com</t>
  </si>
  <si>
    <t xml:space="preserve">Pulok Chakraborty </t>
  </si>
  <si>
    <t>pulok.chakraborty@akijfood.com</t>
  </si>
  <si>
    <t>Md. Saifuzzaman Tamim</t>
  </si>
  <si>
    <t>saifuzzaman.tamim@akijfood.com</t>
  </si>
  <si>
    <t>Md. Nuruzzaman</t>
  </si>
  <si>
    <t>nuruzzaman1@akijfood.com</t>
  </si>
  <si>
    <t>Md. Tanveer Islam</t>
  </si>
  <si>
    <t>tanveer.islam@akijfood.com</t>
  </si>
  <si>
    <t>George Das</t>
  </si>
  <si>
    <t>george.das@akijfood.com</t>
  </si>
  <si>
    <t>Md. Ziaur Rahman Afrad</t>
  </si>
  <si>
    <t>md.ziaur@akijfood.com</t>
  </si>
  <si>
    <t>Md. Nur Rafiq</t>
  </si>
  <si>
    <t>nur.rafiq@akijfood.com</t>
  </si>
  <si>
    <t>Jahanara Begum</t>
  </si>
  <si>
    <t>kohinoor.begum@akijfood.com</t>
  </si>
  <si>
    <t>01850154891</t>
  </si>
  <si>
    <t>Md. Mijanur Rahaman Khan</t>
  </si>
  <si>
    <t>mijanur.rahaman@akijvg.net</t>
  </si>
  <si>
    <t>Export (Head)</t>
  </si>
  <si>
    <t>Md. Mojaffar Ali</t>
  </si>
  <si>
    <t>Fair Price Shop</t>
  </si>
  <si>
    <t>mojaffar.ali@akijfood.com</t>
  </si>
  <si>
    <t>Imran Miah</t>
  </si>
  <si>
    <t>imran@akijfood.com</t>
  </si>
  <si>
    <t>Md. Rezaul Karim</t>
  </si>
  <si>
    <t>Fair Value</t>
  </si>
  <si>
    <t>rezaul.karim3@akijfairvalue.com</t>
  </si>
  <si>
    <t>Kazi Masud Rana</t>
  </si>
  <si>
    <t>masud@akijfood.com</t>
  </si>
  <si>
    <t>Fazla Rabby</t>
  </si>
  <si>
    <t>fazla.rabby@akijfairvalue.com</t>
  </si>
  <si>
    <t>Azamain Thamid Anan</t>
  </si>
  <si>
    <t>azmain.tahmid@akijfairvalue.com</t>
  </si>
  <si>
    <t>Yeasin Nawaz Almas</t>
  </si>
  <si>
    <t>yeasin.almas@akijfairvalue.com</t>
  </si>
  <si>
    <t>01909629284</t>
  </si>
  <si>
    <t>Md. Muzahidul Haque</t>
  </si>
  <si>
    <t>muzahidul.haque@akijfairvalue.com</t>
  </si>
  <si>
    <t>Rashedul Haque</t>
  </si>
  <si>
    <t>rashedul.haque@akijfairvalue.com</t>
  </si>
  <si>
    <t>B.M. Rashed</t>
  </si>
  <si>
    <t>01768583841</t>
  </si>
  <si>
    <t>K M Rasel</t>
  </si>
  <si>
    <t>01713064741</t>
  </si>
  <si>
    <t>Afzal Sarker</t>
  </si>
  <si>
    <t>01409531171</t>
  </si>
  <si>
    <t>Md. Anower Parvez</t>
  </si>
  <si>
    <t>anower.parvez@akijfairvalue.com</t>
  </si>
  <si>
    <t>Md. Gias Uddin Biswas</t>
  </si>
  <si>
    <t>gias.biswas@akijfairvalue.com</t>
  </si>
  <si>
    <t>Noor Mohammad Khan Tuhin</t>
  </si>
  <si>
    <t>noor.tuhin@akijfairvalue.com</t>
  </si>
  <si>
    <t>Md. Shahalam</t>
  </si>
  <si>
    <t>shahalam.samrat@akijfairvalue.com</t>
  </si>
  <si>
    <t>01682430509</t>
  </si>
  <si>
    <t>Md. Isbatul Islam</t>
  </si>
  <si>
    <t>Finance &amp; Accounts</t>
  </si>
  <si>
    <t>isbatul.islam@akijfood.com</t>
  </si>
  <si>
    <t>Iftekharul Alam</t>
  </si>
  <si>
    <t>iftekharul.alam@akijdairy.net</t>
  </si>
  <si>
    <t>Md. Mohaimanul Islam</t>
  </si>
  <si>
    <t>mohaimanul.islam@akijdairy.net</t>
  </si>
  <si>
    <t>Md. Kaiumuzzaman</t>
  </si>
  <si>
    <t>md.kaiumuzzaman@akijdairy.net</t>
  </si>
  <si>
    <t>Golam Samdani</t>
  </si>
  <si>
    <t>golam.samdani@akijfood.com</t>
  </si>
  <si>
    <t>Md. Faysal Arafat</t>
  </si>
  <si>
    <t>faysal.arafat@akijfood.com</t>
  </si>
  <si>
    <t>Md. Golam Rabbani</t>
  </si>
  <si>
    <t>golam.rabbani@akijfood.com</t>
  </si>
  <si>
    <t>Saumik Das Shuvo</t>
  </si>
  <si>
    <t>saumik@akijvg.net</t>
  </si>
  <si>
    <t>Md. Junayed Hossain</t>
  </si>
  <si>
    <t>md.junayed@akijvg.net</t>
  </si>
  <si>
    <t>Raihan Sajid</t>
  </si>
  <si>
    <t>raihan.sajid@akijhealthcare.com</t>
  </si>
  <si>
    <t>Md. Anwar Kabir</t>
  </si>
  <si>
    <t>anwar.kabir@akijhealthcare.com</t>
  </si>
  <si>
    <t>Md. Robel Hossain</t>
  </si>
  <si>
    <t>robel.hossain@akijee.com</t>
  </si>
  <si>
    <t>Wazed Chowdhury</t>
  </si>
  <si>
    <t>wazed.chowdhury@akijfood.com</t>
  </si>
  <si>
    <t>Md. Mizanur Rahman</t>
  </si>
  <si>
    <t>mizanur.rahman6@akijppl.net</t>
  </si>
  <si>
    <t>Md. Raihan Hossain</t>
  </si>
  <si>
    <t>raihan.hossain@akijppl.net</t>
  </si>
  <si>
    <t>Md. Sakib Hasan Plabon</t>
  </si>
  <si>
    <t>sakib.plabon@akijfood.com</t>
  </si>
  <si>
    <t>Md. Yusuf Hossain</t>
  </si>
  <si>
    <t>yusuf.hossain@akijvg.net</t>
  </si>
  <si>
    <t>UMFML</t>
  </si>
  <si>
    <t>Md. Imran Hossain</t>
  </si>
  <si>
    <t>imran.hossain7@akijbicycle.com</t>
  </si>
  <si>
    <t>Md. Abdullah Al Salman</t>
  </si>
  <si>
    <t>Furniture</t>
  </si>
  <si>
    <t>AFPL, Factory(Mirzapur)</t>
  </si>
  <si>
    <t>abdullah.salman@akijvg.net</t>
  </si>
  <si>
    <t>AFPL</t>
  </si>
  <si>
    <t>Md. Emran Hossain</t>
  </si>
  <si>
    <t>emran@akijfood.com</t>
  </si>
  <si>
    <t>AFPL, Corporate Office</t>
  </si>
  <si>
    <t>Jamirul Zahid</t>
  </si>
  <si>
    <t>HORECA</t>
  </si>
  <si>
    <t>AFBL, Corporate Office(Kazipara)</t>
  </si>
  <si>
    <t>jamirul.zahid@akijfood.com</t>
  </si>
  <si>
    <t>Md. Sana Ullah</t>
  </si>
  <si>
    <t>sanaullah1@akijfood.com</t>
  </si>
  <si>
    <t>HORECA (Head)</t>
  </si>
  <si>
    <t>Md.Sana Ullah</t>
  </si>
  <si>
    <t>Modern Trade, HORECA, Institution Sales</t>
  </si>
  <si>
    <t>Md. Ahad Khondaker</t>
  </si>
  <si>
    <t>ahad.khondaker@akijfood.com</t>
  </si>
  <si>
    <t xml:space="preserve">Munaf Gazi </t>
  </si>
  <si>
    <t>munaf.gazi@akijfood.com</t>
  </si>
  <si>
    <t>Obaidul Islam</t>
  </si>
  <si>
    <t>obaidul.islam@akijfood.com</t>
  </si>
  <si>
    <t>Md. Ashiqur Rahman</t>
  </si>
  <si>
    <t>ashiqur.rahman1@akijfood.com</t>
  </si>
  <si>
    <t>01753292650</t>
  </si>
  <si>
    <t>Md. Nasir Uddin</t>
  </si>
  <si>
    <t>HR</t>
  </si>
  <si>
    <t>nuddin@akijfood.com</t>
  </si>
  <si>
    <t>Syed Musavvir Hossain</t>
  </si>
  <si>
    <t>syed.digonto@akijfood.com</t>
  </si>
  <si>
    <t>Nusrat Jahan Juthi</t>
  </si>
  <si>
    <t>nusrat.juthi@akijfood.com</t>
  </si>
  <si>
    <t>Samiha Gulshan Ara</t>
  </si>
  <si>
    <t>samiha.ara@akijhealthcare.com</t>
  </si>
  <si>
    <t>Zannatul Baki Mim</t>
  </si>
  <si>
    <t>zannatul.mim@akijfood.com</t>
  </si>
  <si>
    <t>imran.emon@akijvg.net</t>
  </si>
  <si>
    <t>Mohammad Emadul Haque</t>
  </si>
  <si>
    <t>emadul@akijfood.com</t>
  </si>
  <si>
    <t>Afsar Kabir</t>
  </si>
  <si>
    <t>afsar.kabir@akijfood.com</t>
  </si>
  <si>
    <t>Md. Shariful Islam Mollah</t>
  </si>
  <si>
    <t>shariful.islam@akijdairy.net</t>
  </si>
  <si>
    <t>Md. Alsaba Soikat</t>
  </si>
  <si>
    <t>alsaba.soikat@akijfood.com</t>
  </si>
  <si>
    <t>Tarek Mahmud Utsho</t>
  </si>
  <si>
    <t>utsho@akijvg.net</t>
  </si>
  <si>
    <t>Sharif Mohammed Shihab</t>
  </si>
  <si>
    <t>sharif.shihab@neoscoder.com</t>
  </si>
  <si>
    <t>Abdullah</t>
  </si>
  <si>
    <t>abdullah2@akijfood.com</t>
  </si>
  <si>
    <t>Md. Al-Ikrum</t>
  </si>
  <si>
    <t>al.ikrum@akijfood.com</t>
  </si>
  <si>
    <t>Jamshed Amin</t>
  </si>
  <si>
    <t>jamshed.amin@akijhealthcare.com</t>
  </si>
  <si>
    <t>Nahian Bin Asadullah</t>
  </si>
  <si>
    <t>nahian.asadullah@akijee.com</t>
  </si>
  <si>
    <t>Md. Mehedi Hasan</t>
  </si>
  <si>
    <t>mehedi.hasan8@akijfairvalue.com</t>
  </si>
  <si>
    <t>01805552402</t>
  </si>
  <si>
    <t>Zahid Rahman</t>
  </si>
  <si>
    <t>zahid.rahman@akijfood.com</t>
  </si>
  <si>
    <t>HR (OD)</t>
  </si>
  <si>
    <t>HR (Training)</t>
  </si>
  <si>
    <t>HR (Payroll &amp; Service)</t>
  </si>
  <si>
    <t>HR (Recruitment)</t>
  </si>
  <si>
    <t>Snigdha Mandal Niha</t>
  </si>
  <si>
    <t>snigdha.niha@akijfood.com</t>
  </si>
  <si>
    <t>HR Head</t>
  </si>
  <si>
    <t>Md. Abu Sayed Chowdhury</t>
  </si>
  <si>
    <t>Institutional Sales</t>
  </si>
  <si>
    <t>abusayed@akijfood.com</t>
  </si>
  <si>
    <t>Institutional Sales (Head)</t>
  </si>
  <si>
    <t>Md. Kayser Azad</t>
  </si>
  <si>
    <t>kayser@akijfood.com</t>
  </si>
  <si>
    <t>Md. Mazharul Islam</t>
  </si>
  <si>
    <t>mazharul1@akijfood.com</t>
  </si>
  <si>
    <t>Md. Ziaul Karim</t>
  </si>
  <si>
    <t>md.ziaul@akijhealthcare.com</t>
  </si>
  <si>
    <t>Arman Ahmed</t>
  </si>
  <si>
    <t>arman.ahmed@akijhealthcare.com</t>
  </si>
  <si>
    <t>Md. Musaddik Ben Aziz</t>
  </si>
  <si>
    <t>musaddik.aziz@akijhealthcare.com</t>
  </si>
  <si>
    <t>Md. Arob Ali</t>
  </si>
  <si>
    <t>arob.ali@akijhealthcare.com</t>
  </si>
  <si>
    <t xml:space="preserve">Jahangir Alam </t>
  </si>
  <si>
    <t>jahangir.alam@akijee.com</t>
  </si>
  <si>
    <t>Md. Billal Hossain</t>
  </si>
  <si>
    <t>billal.hossain@akijarra.com</t>
  </si>
  <si>
    <t>zakir2@akijfood.com</t>
  </si>
  <si>
    <t>Md. Shohel Haque</t>
  </si>
  <si>
    <t>shohel1@akijfood.com</t>
  </si>
  <si>
    <t>Md. Talat Mahmud</t>
  </si>
  <si>
    <t>talat@akijfood.com</t>
  </si>
  <si>
    <t>Aftab Uddin</t>
  </si>
  <si>
    <t>aftab.uddin@akijfood.com</t>
  </si>
  <si>
    <t>01673478282</t>
  </si>
  <si>
    <t>Jahidul Islam</t>
  </si>
  <si>
    <t>jahidul.islam4@akijfood.com</t>
  </si>
  <si>
    <t>01601414101</t>
  </si>
  <si>
    <t>Md. Mehedy Hassan</t>
  </si>
  <si>
    <t>mehedy@akijfood.com</t>
  </si>
  <si>
    <t>Md. Sanowar Hosain</t>
  </si>
  <si>
    <t>sanowar2@akijfood.com</t>
  </si>
  <si>
    <t>Mohammad Akash</t>
  </si>
  <si>
    <t>akash1@akijfood.com</t>
  </si>
  <si>
    <t>Md. Anisur Rahman</t>
  </si>
  <si>
    <t>anisur3@akijfood.com</t>
  </si>
  <si>
    <t xml:space="preserve">Rezaul Haque Siraji </t>
  </si>
  <si>
    <t>rezaul.siraji@akijbicycle.com</t>
  </si>
  <si>
    <t>01711546475</t>
  </si>
  <si>
    <t>Mohammad Istiak Syeed</t>
  </si>
  <si>
    <t>Internal Audit &amp; Compliance</t>
  </si>
  <si>
    <t>istiak@akijfood.com</t>
  </si>
  <si>
    <t>Md. Murshed Arif Mahin</t>
  </si>
  <si>
    <t>mahin@akijfood.com</t>
  </si>
  <si>
    <t>Md. Mofijul Islam Talukder</t>
  </si>
  <si>
    <t>mofijul@akijfood.com</t>
  </si>
  <si>
    <t>S.M Zahid Hasan</t>
  </si>
  <si>
    <t>zahid2@akijfood.com</t>
  </si>
  <si>
    <t>Md. Abdullah</t>
  </si>
  <si>
    <t>abdullah1@akijfood.com</t>
  </si>
  <si>
    <t>Jagonnath Roy</t>
  </si>
  <si>
    <t>Jagonnath@akijfood.com</t>
  </si>
  <si>
    <t>Mahmudul Hasan</t>
  </si>
  <si>
    <t>mahmudul1@akijfood.com</t>
  </si>
  <si>
    <t>Md. Shamim Uddin</t>
  </si>
  <si>
    <t>shamim@akijfood.com</t>
  </si>
  <si>
    <t>Saifuddin Ahmmed</t>
  </si>
  <si>
    <t>saifuddin@akijfood.com</t>
  </si>
  <si>
    <t>Md. Sohel Rana</t>
  </si>
  <si>
    <t>rana@akijfood.com</t>
  </si>
  <si>
    <t>Kamal Hossain</t>
  </si>
  <si>
    <t>kamal@akijfood.com</t>
  </si>
  <si>
    <t>Golam Maola</t>
  </si>
  <si>
    <t>maola@akijfood.com</t>
  </si>
  <si>
    <t>Md. Ataul Bin Gani</t>
  </si>
  <si>
    <t>ataul@akijfood.com</t>
  </si>
  <si>
    <t>Md. Bulbul Islam</t>
  </si>
  <si>
    <t>bulbul@akijfood.com</t>
  </si>
  <si>
    <t>mahmudul@akijfood.com</t>
  </si>
  <si>
    <t>Md. Faruk Hossain</t>
  </si>
  <si>
    <t>faruk1@akijfood.com</t>
  </si>
  <si>
    <t>Kaniz Fatiha Shifa</t>
  </si>
  <si>
    <t>kaniz@akijfood.com</t>
  </si>
  <si>
    <t>Tamjid Ahmed Anik</t>
  </si>
  <si>
    <t>tamjid@akijfood.com</t>
  </si>
  <si>
    <t>Tanzina Trena</t>
  </si>
  <si>
    <t>tanzina@akijfood.com</t>
  </si>
  <si>
    <t>Zahid Hasan</t>
  </si>
  <si>
    <t>zahid3@akijfood.com</t>
  </si>
  <si>
    <t>Meshuk Kumar Saha</t>
  </si>
  <si>
    <t>meshuk.saha@akijfood.com</t>
  </si>
  <si>
    <t>Md. Mahedur Rahman</t>
  </si>
  <si>
    <t>md.mahedur@akijfood.com</t>
  </si>
  <si>
    <t>Md. Shafiul Alam</t>
  </si>
  <si>
    <t>shafiul.alam1@akijfood.com</t>
  </si>
  <si>
    <t>md.saiful@akijfood.com</t>
  </si>
  <si>
    <t>Muhammad Abdullahil Mazid</t>
  </si>
  <si>
    <t>muhammad.mazid@akijfood.com</t>
  </si>
  <si>
    <t>Sayed Rayhan Sagor</t>
  </si>
  <si>
    <t>sayed.rayhan@akijfood.com</t>
  </si>
  <si>
    <t>Kazi Tanjidur Rahman</t>
  </si>
  <si>
    <t>tanjidur.rahman@akijfood.com</t>
  </si>
  <si>
    <t>Md. Arif Hossain</t>
  </si>
  <si>
    <t>arif.hossain@akijfood.com</t>
  </si>
  <si>
    <t>Tufajjal Hasan</t>
  </si>
  <si>
    <t>tufajjal.hasan@akijfood.com</t>
  </si>
  <si>
    <t>Md. Sakib Khan</t>
  </si>
  <si>
    <t>sakib.khan1@akijfood.com</t>
  </si>
  <si>
    <t>Mohammad Yeasin Arafat</t>
  </si>
  <si>
    <t>mohammadyeasin@akijvg.net</t>
  </si>
  <si>
    <t>Marid Hasan</t>
  </si>
  <si>
    <t>marid@akijvg.net</t>
  </si>
  <si>
    <t>Zaid Al Mahmudul Hasan</t>
  </si>
  <si>
    <t>zaid@akijfood.com</t>
  </si>
  <si>
    <t>Md. Hiron Mia</t>
  </si>
  <si>
    <t>md.hiron@akijfood.com</t>
  </si>
  <si>
    <t>Internal Audit &amp; Compliance (Head)</t>
  </si>
  <si>
    <t>Nafeesa Alam Shuchy</t>
  </si>
  <si>
    <t>IT</t>
  </si>
  <si>
    <t>nafeesa@neoscoder.com</t>
  </si>
  <si>
    <t>Deba Brata Das</t>
  </si>
  <si>
    <t>debabrata@neoscoder.com</t>
  </si>
  <si>
    <t>Fariha Ajnum Bushra</t>
  </si>
  <si>
    <t>fariha.anjum@neoscoder.com</t>
  </si>
  <si>
    <t>Md. Saddam Hossain</t>
  </si>
  <si>
    <t>NL, Corporate Office</t>
  </si>
  <si>
    <t>saddam.hossain@neoscoder.com</t>
  </si>
  <si>
    <t>Rokibul Hassan</t>
  </si>
  <si>
    <t>rokibul.hassan@neoscoder.com</t>
  </si>
  <si>
    <t>Alinda Barua</t>
  </si>
  <si>
    <t>alinda.barua@neoscoder.com</t>
  </si>
  <si>
    <t xml:space="preserve">Arafat Chowdhury </t>
  </si>
  <si>
    <t>arafat.chowdhury@neoscoder.com</t>
  </si>
  <si>
    <t>01632701569</t>
  </si>
  <si>
    <t>Md. Osman Gani Emon</t>
  </si>
  <si>
    <t>NL, Corporate Office(Panthapath)</t>
  </si>
  <si>
    <t>osman.emon@neoscoder.com</t>
  </si>
  <si>
    <t>01638871042</t>
  </si>
  <si>
    <t>Md. Tansocelar Ahamed Dorjoy</t>
  </si>
  <si>
    <t>tansocelar.dorjoy@neoscoder.com</t>
  </si>
  <si>
    <t>01303384339</t>
  </si>
  <si>
    <t>Kanak Kumar Sanyal</t>
  </si>
  <si>
    <t>kanak@neoscoder.com</t>
  </si>
  <si>
    <t>Tanvir Rahman</t>
  </si>
  <si>
    <t>tanvir@neoscoder.com</t>
  </si>
  <si>
    <t>Arup Raton Chowdhury</t>
  </si>
  <si>
    <t>arup.raton@neoscoder.com</t>
  </si>
  <si>
    <t>Md. Mosaddik Hossain</t>
  </si>
  <si>
    <t>mosaddik.hossain@akijvg.net</t>
  </si>
  <si>
    <t>IT  (Head of Oracle)</t>
  </si>
  <si>
    <t>Sk. Moniruzzaman</t>
  </si>
  <si>
    <t>sk.moniruzzaman@akijfood.com</t>
  </si>
  <si>
    <t>Oracle Support</t>
  </si>
  <si>
    <t>Adib Mahmud</t>
  </si>
  <si>
    <t>adib.mahmud@akijfood.com</t>
  </si>
  <si>
    <t>Md. Abu Hurayra</t>
  </si>
  <si>
    <t>abuhurayra@neoscoder.com</t>
  </si>
  <si>
    <t xml:space="preserve">Nafisa Tafshir </t>
  </si>
  <si>
    <t>tafshir@neoscoder.com</t>
  </si>
  <si>
    <t>Salma Mojumder</t>
  </si>
  <si>
    <t>salma.mojumder@neoscoder.com</t>
  </si>
  <si>
    <t>Nafisa Anjum</t>
  </si>
  <si>
    <t>nafisa.anjum@neoscoder.com</t>
  </si>
  <si>
    <t>Antara Raida Anika</t>
  </si>
  <si>
    <t>antara.anika@neoscoder.com</t>
  </si>
  <si>
    <t>Md. Rezwan Tahmi</t>
  </si>
  <si>
    <t>rezwan.tahmi@neoscoder.com</t>
  </si>
  <si>
    <t>Md. Mamun Juarder</t>
  </si>
  <si>
    <t>mamun.juarder@neoscoder.com</t>
  </si>
  <si>
    <t>Md. Iftehaj Annan</t>
  </si>
  <si>
    <t>NL, Corporate Office(Niketon)</t>
  </si>
  <si>
    <t>iftehaj.annan@neoscoder.com</t>
  </si>
  <si>
    <t>Arshad Uddin Afnan</t>
  </si>
  <si>
    <t>arshad.afnan@neoscoder.com</t>
  </si>
  <si>
    <t>Mahasin Miah</t>
  </si>
  <si>
    <t>mahasin.miah@neoscoder.com</t>
  </si>
  <si>
    <t>Md. Sarwar  Hossain</t>
  </si>
  <si>
    <t>sarwar.hossain@neoscoder.com</t>
  </si>
  <si>
    <t>Md. Monjur Hossain</t>
  </si>
  <si>
    <t>monjur.hossain@akijfood.com</t>
  </si>
  <si>
    <t>01819624872</t>
  </si>
  <si>
    <t>Farah Farjana</t>
  </si>
  <si>
    <t>farah.farjana@neoscoder.com</t>
  </si>
  <si>
    <t>01309339866</t>
  </si>
  <si>
    <t>Muntasir Kader Anik</t>
  </si>
  <si>
    <t>muntasir.anik@neoscoder.com</t>
  </si>
  <si>
    <t>Gourob Saha Surjo</t>
  </si>
  <si>
    <t>gourob.surjo@neoscoder.com</t>
  </si>
  <si>
    <t>Shahanuzzaman</t>
  </si>
  <si>
    <t>rafi@neoscoder.com</t>
  </si>
  <si>
    <t>M. Alif Ur Rahman</t>
  </si>
  <si>
    <t>alif.rahman@neoscoder.com</t>
  </si>
  <si>
    <t>Md. Junaed Abed</t>
  </si>
  <si>
    <t>junaed.abed@neoscoder.com</t>
  </si>
  <si>
    <t>S M Tanvir Hasan Faysal</t>
  </si>
  <si>
    <t>tanvir.faysal@neoscoder.com</t>
  </si>
  <si>
    <t>Sudipta Adhikary Joy</t>
  </si>
  <si>
    <t>sudipta.adhikary@neoscoder.com</t>
  </si>
  <si>
    <t>Gazi Salah Uddin</t>
  </si>
  <si>
    <t>salah.uddin@neoscoder.com</t>
  </si>
  <si>
    <t>Md. Shahidullah Rakib</t>
  </si>
  <si>
    <t>shahidullah.rakib@neoscoder.com</t>
  </si>
  <si>
    <t>Mohammed Aftahi Islam</t>
  </si>
  <si>
    <t>aftahi.islam@neoscoder.com</t>
  </si>
  <si>
    <t>Nowshin Chowdhury</t>
  </si>
  <si>
    <t>nowshin.chowdhury@neoscoder.com</t>
  </si>
  <si>
    <t>Samier Uddin Ahammad Shovo</t>
  </si>
  <si>
    <t>samier.ahammad@neoscoder.com</t>
  </si>
  <si>
    <t>Yousuf Hassan</t>
  </si>
  <si>
    <t>yousuf.hassan@neoscoder.com</t>
  </si>
  <si>
    <t>Rafid Redwan Khan</t>
  </si>
  <si>
    <t>rafid.redwan@neoscoder.com</t>
  </si>
  <si>
    <t>Meherin Hossain Nushra</t>
  </si>
  <si>
    <t>meherin.nushra@neoscoder.com</t>
  </si>
  <si>
    <t>Md. Zayed Islam</t>
  </si>
  <si>
    <t>zayed.islam@neoscoder.com</t>
  </si>
  <si>
    <t>Nishat Sultana Ritu</t>
  </si>
  <si>
    <t>nishat.ritu@neoscoder.com</t>
  </si>
  <si>
    <t>Md. Sajed</t>
  </si>
  <si>
    <t>md.sajed@neoscoder.com</t>
  </si>
  <si>
    <t>Md Safayet Hossain</t>
  </si>
  <si>
    <t>safayet.hossain@neoscoder.com</t>
  </si>
  <si>
    <t>Jasem Uddin</t>
  </si>
  <si>
    <t>jasem.uddin@neoscoder.com</t>
  </si>
  <si>
    <t>Mehatub Uddin</t>
  </si>
  <si>
    <t>mehatub.uddin@neoscoder.com</t>
  </si>
  <si>
    <t>01614703000</t>
  </si>
  <si>
    <t>Md. Ikhtiar Alam</t>
  </si>
  <si>
    <t>ikhtiar.alam@neoscoder.com</t>
  </si>
  <si>
    <t>01970987578</t>
  </si>
  <si>
    <t xml:space="preserve">Taseen Alam Dehan </t>
  </si>
  <si>
    <t>taseen.dehan@neoscoder.com</t>
  </si>
  <si>
    <t>01881171252</t>
  </si>
  <si>
    <t>Md. Tarikul Islam Juel</t>
  </si>
  <si>
    <t>tarikul.juel@neoscoder.com</t>
  </si>
  <si>
    <t>01985894285</t>
  </si>
  <si>
    <t>Awolad Hossain</t>
  </si>
  <si>
    <t>awolad.hossain1@neoscoder.com</t>
  </si>
  <si>
    <t>01612011970</t>
  </si>
  <si>
    <t>Md. Ashikur Rhaman</t>
  </si>
  <si>
    <t>ashikur.rhaman@akijfood.com</t>
  </si>
  <si>
    <t>Masrur Rahman</t>
  </si>
  <si>
    <t>masrur.rahman@akijfood.com</t>
  </si>
  <si>
    <t>Abdul Al Ahin</t>
  </si>
  <si>
    <t>abdul.ahin@akijfood.com</t>
  </si>
  <si>
    <t>Md. Rayhan Islam</t>
  </si>
  <si>
    <t>rayhan.islam@akijfood.com</t>
  </si>
  <si>
    <t>Md. Rakibul Islam</t>
  </si>
  <si>
    <t>rakibul.islam@neoscoder.com</t>
  </si>
  <si>
    <t>Zannatul Ferdous Misty</t>
  </si>
  <si>
    <t>zannatul.misty@neoscoder.com</t>
  </si>
  <si>
    <t>Md. Mahmudul Hasan Maruf</t>
  </si>
  <si>
    <t>mahmudul.maruf@neoscoder.com</t>
  </si>
  <si>
    <t>01757964826</t>
  </si>
  <si>
    <t>Md. Fahim Shakil Chowdhury</t>
  </si>
  <si>
    <t>fahim.shakil@neoscoder.com</t>
  </si>
  <si>
    <t>01854967693</t>
  </si>
  <si>
    <t>Shahriar Mahbub</t>
  </si>
  <si>
    <t>shahriar.mahbub@akijfood.com</t>
  </si>
  <si>
    <t>Md. Jannatul Nayem</t>
  </si>
  <si>
    <t>jannatul.nayem@akijfood.com</t>
  </si>
  <si>
    <t>01730895227</t>
  </si>
  <si>
    <t>Neoscoder Head</t>
  </si>
  <si>
    <t>Monir Hossain</t>
  </si>
  <si>
    <t>monir3@neoscoder.com</t>
  </si>
  <si>
    <t>Tushar Ahmmed</t>
  </si>
  <si>
    <t>tushar.ahmmed@neoscoder.com</t>
  </si>
  <si>
    <t>Md. Rakibul Hasan</t>
  </si>
  <si>
    <t>rakibul.hasan1@neoscoder.com</t>
  </si>
  <si>
    <t>Yasin Mia Palash</t>
  </si>
  <si>
    <t>yasin.palash@neoscoder.com</t>
  </si>
  <si>
    <t>jahidul.islam2@neoscoder.com</t>
  </si>
  <si>
    <t>Shahi Shohanur Hamid</t>
  </si>
  <si>
    <t>shahi.hamid@neoscoder.com</t>
  </si>
  <si>
    <t>Md. Hanif Rony</t>
  </si>
  <si>
    <t>hanif.rony@neoscoder.com</t>
  </si>
  <si>
    <t>Ishrat Jahan Epsi</t>
  </si>
  <si>
    <t>ishrat.epsi@neoscoder.com</t>
  </si>
  <si>
    <t>A.S.M Motashim Billah Pavel</t>
  </si>
  <si>
    <t>motashim.pavel@neoscoder.com</t>
  </si>
  <si>
    <t>Md. Kamal Haque Kanon</t>
  </si>
  <si>
    <t>kamal.kanon@neoscoder.com</t>
  </si>
  <si>
    <t>Redwan Noor Ullah</t>
  </si>
  <si>
    <t>Juice &amp; Drinks</t>
  </si>
  <si>
    <t>redwan@akijfood.com</t>
  </si>
  <si>
    <t>atikur3@akijfood.com</t>
  </si>
  <si>
    <t>Foyez Alam</t>
  </si>
  <si>
    <t>foyez@akijvg.net</t>
  </si>
  <si>
    <t>Juice &amp; Drinks (Head)</t>
  </si>
  <si>
    <t>Yaminur Rahman</t>
  </si>
  <si>
    <t>Legal Affairs</t>
  </si>
  <si>
    <t>yaminur@akijfood.com</t>
  </si>
  <si>
    <t>Tanvir Zaman</t>
  </si>
  <si>
    <t>tanvir.zaman@akijfood.com</t>
  </si>
  <si>
    <t>Monjur Shariya Bhuiyan</t>
  </si>
  <si>
    <t>monjur.bhuiyan@akijfood.com</t>
  </si>
  <si>
    <t>Sumona Rahman</t>
  </si>
  <si>
    <t>sumona.rahman@akijfood.com</t>
  </si>
  <si>
    <t>S. M. Zubair</t>
  </si>
  <si>
    <t>sayed.zubair@akijfood.com</t>
  </si>
  <si>
    <t>Md. Didarul Islam</t>
  </si>
  <si>
    <t>didarul.islam@akijfood.com</t>
  </si>
  <si>
    <t>Md. Robiul Islam</t>
  </si>
  <si>
    <t>rislam@akijvg.net</t>
  </si>
  <si>
    <t>Tahasin Salsabil Labiba</t>
  </si>
  <si>
    <t>tahasin.labiba@akijfood.com</t>
  </si>
  <si>
    <t>01860805837</t>
  </si>
  <si>
    <t>Rakib Islam</t>
  </si>
  <si>
    <t>rakib.islam@akijfood.com</t>
  </si>
  <si>
    <t>01620650959</t>
  </si>
  <si>
    <t>Legal Affairs (Head)</t>
  </si>
  <si>
    <t>Md Arifur Rahman</t>
  </si>
  <si>
    <t>Market Audit &amp; Business Intelligence</t>
  </si>
  <si>
    <t>arifur@akijfood.com</t>
  </si>
  <si>
    <t>Md. Abidur Rahman</t>
  </si>
  <si>
    <t>abidur@akijfood.com</t>
  </si>
  <si>
    <t>Md. Alamin</t>
  </si>
  <si>
    <t>alamin3@akijfood.com</t>
  </si>
  <si>
    <t>Mohammad Ali</t>
  </si>
  <si>
    <t>ali@akijfood.com</t>
  </si>
  <si>
    <t>mehedi@akijfood.com</t>
  </si>
  <si>
    <t>Md. Shazzatul Islam Sazal</t>
  </si>
  <si>
    <t>shazzatul@akijfood.com</t>
  </si>
  <si>
    <t>Md. Mosqur Arefin</t>
  </si>
  <si>
    <t>mosqur@akijfood.com</t>
  </si>
  <si>
    <t>Md. Arman Ahamad</t>
  </si>
  <si>
    <t>arman@akijfood.com</t>
  </si>
  <si>
    <t>Kazi Arifur Rahman</t>
  </si>
  <si>
    <t>kazi.rahman@akijfood.com</t>
  </si>
  <si>
    <t>M M Mashrur Amin</t>
  </si>
  <si>
    <t>Marketing</t>
  </si>
  <si>
    <t>mashrur@akijvg.net</t>
  </si>
  <si>
    <t>Mahfujur Rahman</t>
  </si>
  <si>
    <t>Media Management</t>
  </si>
  <si>
    <t>mahfujur@akijfood.com</t>
  </si>
  <si>
    <t>Tania Akter</t>
  </si>
  <si>
    <t>tania@akijfood.com</t>
  </si>
  <si>
    <t>Abdullah Ibn Younus</t>
  </si>
  <si>
    <t>MIS</t>
  </si>
  <si>
    <t>abdullah.younus@akijhealthcare.com</t>
  </si>
  <si>
    <t>Md. Arifur Rahman</t>
  </si>
  <si>
    <t>arifur1@akijfood.com</t>
  </si>
  <si>
    <t>Md. Firoz Alam</t>
  </si>
  <si>
    <t>feroz.alam@akijee.com</t>
  </si>
  <si>
    <t>Md. Asifuzzaman Asif</t>
  </si>
  <si>
    <t>asifuzzaman.asif@akijhealthcare.com</t>
  </si>
  <si>
    <t>Sk. Minhaj Ahmed</t>
  </si>
  <si>
    <t>minhaj@akijfood.com</t>
  </si>
  <si>
    <t>Nawreen Chowdhury Adeeba</t>
  </si>
  <si>
    <t>nawreen.adeeba@akijfood.com</t>
  </si>
  <si>
    <t>Samiul Alam</t>
  </si>
  <si>
    <t>samiul.alam@akijfood.com</t>
  </si>
  <si>
    <t>MIS (Head)</t>
  </si>
  <si>
    <t>Md. Hamim Bin Zaid</t>
  </si>
  <si>
    <t>Modern Trade</t>
  </si>
  <si>
    <t>hamim@akijfood.com</t>
  </si>
  <si>
    <t>Md. Saidul Islam</t>
  </si>
  <si>
    <t>saidul1@akijfood.com</t>
  </si>
  <si>
    <t>Md. Mahede Ahasan</t>
  </si>
  <si>
    <t>mahede.ahasan@akijee.com</t>
  </si>
  <si>
    <t>01624620610</t>
  </si>
  <si>
    <t>maidul@akijfood.com</t>
  </si>
  <si>
    <t>Md. Awal Hossaen</t>
  </si>
  <si>
    <t>awal@akijfood.com</t>
  </si>
  <si>
    <t>S.M Mohiuddin Azad</t>
  </si>
  <si>
    <t>mohiuddin2@akijfood.com</t>
  </si>
  <si>
    <t>Md. Roman Bhuiyan</t>
  </si>
  <si>
    <t>roman@akijfood.com</t>
  </si>
  <si>
    <t>Md. Nayeem Hossain</t>
  </si>
  <si>
    <t>nayeem.hossain@akijfood.com</t>
  </si>
  <si>
    <t>Alrubar Taj</t>
  </si>
  <si>
    <t>alrubar.taj@akijfood.com</t>
  </si>
  <si>
    <t>Md. Raton Ali</t>
  </si>
  <si>
    <t>raton@akijfood.com</t>
  </si>
  <si>
    <t>Md. Ariful Hasan</t>
  </si>
  <si>
    <t>ariful.hasan@akijfood.com</t>
  </si>
  <si>
    <t>Mohammadpur Altap Hossain</t>
  </si>
  <si>
    <t>mohammad.altap@akijhealthcare.com</t>
  </si>
  <si>
    <t>Md. Shahadat Hossain</t>
  </si>
  <si>
    <t>shahadat.hossain@akijfood.com</t>
  </si>
  <si>
    <t>Modern Trade (Head)</t>
  </si>
  <si>
    <t>Manjur Rahaman</t>
  </si>
  <si>
    <t>New Project &amp; Development</t>
  </si>
  <si>
    <t>manjur@akijfood.com</t>
  </si>
  <si>
    <t>Md. Shakil Khan</t>
  </si>
  <si>
    <t>shakil@akijfood.com</t>
  </si>
  <si>
    <t>Md. Shaikh Rasel</t>
  </si>
  <si>
    <t>shaikh@akijfood.com</t>
  </si>
  <si>
    <t>Maisha Mahin Shashi</t>
  </si>
  <si>
    <t>maisha@akijvg.net</t>
  </si>
  <si>
    <t>Md. Shibbir Ahmed</t>
  </si>
  <si>
    <t>shibbir.ahmed@akijfood.com</t>
  </si>
  <si>
    <t>Faize Zafar</t>
  </si>
  <si>
    <t>faize.zafar@akijfood.com</t>
  </si>
  <si>
    <t>Neowas Ahamed Kabir</t>
  </si>
  <si>
    <t>neowas.kabir@akijfood.com</t>
  </si>
  <si>
    <t>Sohal Islam</t>
  </si>
  <si>
    <t>sohal.islam@akijfood.com</t>
  </si>
  <si>
    <t>Abu Hasnat Asib Neloy</t>
  </si>
  <si>
    <t>hasnat.niloy@akijfood.com</t>
  </si>
  <si>
    <t>New Project &amp; Development (Head)</t>
  </si>
  <si>
    <t>S.M.A. Awal</t>
  </si>
  <si>
    <t>Operations</t>
  </si>
  <si>
    <t>awal1@akijee.com</t>
  </si>
  <si>
    <t>Operations (Head)</t>
  </si>
  <si>
    <t xml:space="preserve">Tanvir Ahmed </t>
  </si>
  <si>
    <t>AEEL, Panthapath</t>
  </si>
  <si>
    <t>tanvir.ahmed2@akijee.com</t>
  </si>
  <si>
    <t>Operations_Cable</t>
  </si>
  <si>
    <t>Md. Nazmul Hasan Tanvir</t>
  </si>
  <si>
    <t>nazmul.tanvir@akijvg.net</t>
  </si>
  <si>
    <t>Md. Rabiul Islam</t>
  </si>
  <si>
    <t>rabiul.islam1@akijvg.net</t>
  </si>
  <si>
    <t xml:space="preserve">Muniruzzaman </t>
  </si>
  <si>
    <t>muniruzzaman@akijvg.net</t>
  </si>
  <si>
    <t>Light Operation (AEEL)</t>
  </si>
  <si>
    <t>Syeda Zahedun Nesa</t>
  </si>
  <si>
    <t>syeda@akijfood.com</t>
  </si>
  <si>
    <t>rakibul.hasan2@akijee.com</t>
  </si>
  <si>
    <t>Operations(Metro Mart Head)</t>
  </si>
  <si>
    <t>Robin Khan</t>
  </si>
  <si>
    <t>robin1@akijbicycle.com</t>
  </si>
  <si>
    <t>Operations (ABEL)</t>
  </si>
  <si>
    <t>Abu Hena Md. Nazmuzzaman</t>
  </si>
  <si>
    <t>abu.hena@akijbicycle.com</t>
  </si>
  <si>
    <t>Tofazzal Hossain</t>
  </si>
  <si>
    <t>tofazzal.hossain@akijbicycle.com</t>
  </si>
  <si>
    <t>Operations (Tyre)</t>
  </si>
  <si>
    <t>Md. Yousuf Sazid</t>
  </si>
  <si>
    <t>yousuf.sazid@akijbicycle.com</t>
  </si>
  <si>
    <t>Mohammad Tarikuzzaman</t>
  </si>
  <si>
    <t>mohammad.tarikuzzaman@akijbicycle.com</t>
  </si>
  <si>
    <t>ARRA In Charge</t>
  </si>
  <si>
    <t>Debasish Ch Debanth</t>
  </si>
  <si>
    <t>debasish.debnath@akijbicycle.com</t>
  </si>
  <si>
    <t>01796634147</t>
  </si>
  <si>
    <t>Nazma Sultana</t>
  </si>
  <si>
    <t>nazma.sultana@akijfairvalue.com</t>
  </si>
  <si>
    <t>01711539957</t>
  </si>
  <si>
    <t>Kazi Shameem Hassan</t>
  </si>
  <si>
    <t>shameem.hassan@akijvg.net</t>
  </si>
  <si>
    <t>01942329516</t>
  </si>
  <si>
    <t>Head of Service, AREAL</t>
  </si>
  <si>
    <t xml:space="preserve">Shahadat Hossain </t>
  </si>
  <si>
    <t>shahadat.hossain1@akijvg.net</t>
  </si>
  <si>
    <t>01731939874</t>
  </si>
  <si>
    <t>Business Head, AREAL, ATPL</t>
  </si>
  <si>
    <t>Harisul Islam Harris</t>
  </si>
  <si>
    <t>harisul.islam@akijfood.com</t>
  </si>
  <si>
    <t>Business Head, AALL</t>
  </si>
  <si>
    <t>Head of Business AEEL</t>
  </si>
  <si>
    <t>Head of Business AHHL</t>
  </si>
  <si>
    <t>Operations (AFBL, ADL, AALL)</t>
  </si>
  <si>
    <t>Operations (ABEL, AHHL, Metro Mart)</t>
  </si>
  <si>
    <t>Md. Shakilun Nabi</t>
  </si>
  <si>
    <t>shakilun.nabi@akijbicycle.com</t>
  </si>
  <si>
    <t>Md. Shah Budrul Riaz</t>
  </si>
  <si>
    <t>shah.budrul@akijfood.com</t>
  </si>
  <si>
    <t>Halim Hossain</t>
  </si>
  <si>
    <t>Outdoor Management</t>
  </si>
  <si>
    <t>hossain1@akijfood.com</t>
  </si>
  <si>
    <t>mizan@akijfood.com</t>
  </si>
  <si>
    <t>rakibul1@akijfood.com</t>
  </si>
  <si>
    <t>Monsur Rahaman</t>
  </si>
  <si>
    <t>monsur@akijfood.com</t>
  </si>
  <si>
    <t>nasir4@akijfood.com</t>
  </si>
  <si>
    <t>Rasel Mia</t>
  </si>
  <si>
    <t>rasel1@akijfood.com</t>
  </si>
  <si>
    <t>Md. Masud Rana</t>
  </si>
  <si>
    <t>masud1@akijfood.com</t>
  </si>
  <si>
    <t>Md. Sofiul Islam</t>
  </si>
  <si>
    <t>sofiul@akijfood.com</t>
  </si>
  <si>
    <t>Muntashir Shimul</t>
  </si>
  <si>
    <t>muntashir@akijfood.com</t>
  </si>
  <si>
    <t>Outdoor Management (Head)</t>
  </si>
  <si>
    <t>Outdoor Management (Head of Event)</t>
  </si>
  <si>
    <t>Md. Iqbal Hossain</t>
  </si>
  <si>
    <t>iqbal.hossain@akijhealthcare.com</t>
  </si>
  <si>
    <t>Md. Abdul Gaffar</t>
  </si>
  <si>
    <t>Product Development and Quality Control</t>
  </si>
  <si>
    <t>abdulgaffar@akijhealthcare.com</t>
  </si>
  <si>
    <t>Md. Rashedul Islam</t>
  </si>
  <si>
    <t>md.rashedul@akijhealthcare.com</t>
  </si>
  <si>
    <t xml:space="preserve">Md. Ariful Haque </t>
  </si>
  <si>
    <t>md.ariful@akijhealthcare.com</t>
  </si>
  <si>
    <t>Md. Awolad Hossain</t>
  </si>
  <si>
    <t>awolad.hossain@akijhealthcare.com</t>
  </si>
  <si>
    <t>Gazi Md. Atikur Rahman</t>
  </si>
  <si>
    <t>gazi.atikur@akijhealthcare.com</t>
  </si>
  <si>
    <t>01672721702</t>
  </si>
  <si>
    <t>M. Salim Reza</t>
  </si>
  <si>
    <t>Production</t>
  </si>
  <si>
    <t>salim.reza1@akijhealthcare.com</t>
  </si>
  <si>
    <t>Saimon Islam</t>
  </si>
  <si>
    <t>saimon.islam@akijhealthcare.com</t>
  </si>
  <si>
    <t>Hossain Al Banna</t>
  </si>
  <si>
    <t>Publication</t>
  </si>
  <si>
    <t>hossain.banna@ampublication.com</t>
  </si>
  <si>
    <t xml:space="preserve">Rabiul Islam Nijhum </t>
  </si>
  <si>
    <t>rabiul.nijhum@ampublication.com</t>
  </si>
  <si>
    <t>Mohammad Jahanger Alam</t>
  </si>
  <si>
    <t>jahanger.alam@ampublication.com</t>
  </si>
  <si>
    <t>Abdullah Ashraf</t>
  </si>
  <si>
    <t>abdullah.ashraf@ampublication.com</t>
  </si>
  <si>
    <t>M. Sabbir Ahmed</t>
  </si>
  <si>
    <t>sabbir.ahmed@ampublication.com</t>
  </si>
  <si>
    <t>Nazmus Sakib</t>
  </si>
  <si>
    <t>nazmus@ampublication.com</t>
  </si>
  <si>
    <t>Md. Abul Hasanat</t>
  </si>
  <si>
    <t>hasanat@ampublication.com</t>
  </si>
  <si>
    <t>Mohammad Jahangir Alam</t>
  </si>
  <si>
    <t>jahangir.alam1@ampublication.com</t>
  </si>
  <si>
    <t>Ayaz Mohammad Faisal</t>
  </si>
  <si>
    <t>ayaz.faisal@ampublication.com</t>
  </si>
  <si>
    <t>Md. Mostafizer Rahman</t>
  </si>
  <si>
    <t>mostafizer@akijvg.net</t>
  </si>
  <si>
    <t>01713049822</t>
  </si>
  <si>
    <t>Regional Sales Manager</t>
  </si>
  <si>
    <t>mijanur.rahman1@akijfood.com</t>
  </si>
  <si>
    <t>Md. Mahfozur Rahman</t>
  </si>
  <si>
    <t>mahfozur.rahman@akijfood.com</t>
  </si>
  <si>
    <t>01823054609</t>
  </si>
  <si>
    <t>Purchase</t>
  </si>
  <si>
    <t>nasir@akijfood.com</t>
  </si>
  <si>
    <t>Md. Rakib Hossain</t>
  </si>
  <si>
    <t>Quality Control</t>
  </si>
  <si>
    <t>md.rakib@akijhealthcare.com</t>
  </si>
  <si>
    <t>Abdus Sattar</t>
  </si>
  <si>
    <t>abdus.sattar@akijhealthcare.com</t>
  </si>
  <si>
    <t>Md. Saiful Arefin</t>
  </si>
  <si>
    <t>Regulatory Affairs</t>
  </si>
  <si>
    <t>saiful.arefin@akijvg.net</t>
  </si>
  <si>
    <t>Muhammad Mamun Bapari</t>
  </si>
  <si>
    <t>mdmamun@akijfood.com</t>
  </si>
  <si>
    <t>Fathin Shadab Khan</t>
  </si>
  <si>
    <t>fatin.shadab@akijfood.com</t>
  </si>
  <si>
    <t>Mehedi  Hasan Rani</t>
  </si>
  <si>
    <t>mehedi.rani@akijfood.com</t>
  </si>
  <si>
    <t>01716482433</t>
  </si>
  <si>
    <t>Md. Wahid Hossain</t>
  </si>
  <si>
    <t>Resource Management &amp; Development</t>
  </si>
  <si>
    <t>wahid1@akijfood.com</t>
  </si>
  <si>
    <t>rezaul@akijfood.com</t>
  </si>
  <si>
    <t>Feroz Ahamed</t>
  </si>
  <si>
    <t>ferozahmed@akijfood.com</t>
  </si>
  <si>
    <t>Resource Management &amp; Development (Head)</t>
  </si>
  <si>
    <t>RTM</t>
  </si>
  <si>
    <t>kamal1@akijfood.com</t>
  </si>
  <si>
    <t>Ahsan Kibria</t>
  </si>
  <si>
    <t>ahsan1@akijvg.net</t>
  </si>
  <si>
    <t>Nadim Faruky</t>
  </si>
  <si>
    <t>nadim@akijfood.com</t>
  </si>
  <si>
    <t>Md. Mahabubul Islam</t>
  </si>
  <si>
    <t>mahabubul@akijfood.com</t>
  </si>
  <si>
    <t>Santu Kumar Mani</t>
  </si>
  <si>
    <t>santu.mani@akijfood.com</t>
  </si>
  <si>
    <t>Md. Rashel Mia</t>
  </si>
  <si>
    <t>rashel.mia@akijfood.com</t>
  </si>
  <si>
    <t>Talim Hossain Salman</t>
  </si>
  <si>
    <t>talim.salman@akijfood.com</t>
  </si>
  <si>
    <t>Abdul Ahad</t>
  </si>
  <si>
    <t>abdul.ahad@akijfood.com</t>
  </si>
  <si>
    <t>Md. Abu Rasel Parvez</t>
  </si>
  <si>
    <t>abu.parvez@akijfood.com</t>
  </si>
  <si>
    <t>Md. Abdur Rahim</t>
  </si>
  <si>
    <t>abdur.rahim1@akijbicycle.com</t>
  </si>
  <si>
    <t>ahsan.kibria@akijvg.net</t>
  </si>
  <si>
    <t>RTM (Head)</t>
  </si>
  <si>
    <t>Abu Asad Md Saifur Rahman</t>
  </si>
  <si>
    <t>National Sales Manager</t>
  </si>
  <si>
    <t>Sales</t>
  </si>
  <si>
    <t>AALL, Corporate Office(Kazipara)</t>
  </si>
  <si>
    <t>asad.saifur@akijagro.net</t>
  </si>
  <si>
    <t>Sales (AALL)</t>
  </si>
  <si>
    <t>Md. Mosharraf Hossain</t>
  </si>
  <si>
    <t>mosharraf.hossain@akijbicycle.com</t>
  </si>
  <si>
    <t>Sales (ABEL)</t>
  </si>
  <si>
    <t>Md. Sazzad Hossain Manik</t>
  </si>
  <si>
    <t>sazzad.manik@akijfairvalue.com</t>
  </si>
  <si>
    <t>01404717471</t>
  </si>
  <si>
    <t>Shahinur Islam Sompod</t>
  </si>
  <si>
    <t>01796903492</t>
  </si>
  <si>
    <t>Habibur Rahman Jwel</t>
  </si>
  <si>
    <t>Sales Manager</t>
  </si>
  <si>
    <t>habibur.rahman@akijhealthcare.com</t>
  </si>
  <si>
    <t>Md. Rajaul Karim</t>
  </si>
  <si>
    <t>rajaul@akijfood.com</t>
  </si>
  <si>
    <t>Sales Manager, South, Line B</t>
  </si>
  <si>
    <t>Md. Taimur Reja</t>
  </si>
  <si>
    <t>Sales &amp; Marketing</t>
  </si>
  <si>
    <t>ADL, Corporate Office(Kazipara)</t>
  </si>
  <si>
    <t>taimur@akijfood.com</t>
  </si>
  <si>
    <t>Sales &amp; Marketing (ADL Pasteurize Sales Head) CC</t>
  </si>
  <si>
    <t>Md. Tareque Ibne Hossain</t>
  </si>
  <si>
    <t>tareque.hossain@akijee.com</t>
  </si>
  <si>
    <t>Sales &amp; Marketing (Head of AEEL)</t>
  </si>
  <si>
    <t xml:space="preserve">Mahmudur Rashid </t>
  </si>
  <si>
    <t>mahmudur.rashid@akijfairvalue.com</t>
  </si>
  <si>
    <t>Md. Razib Ahsan Akanda</t>
  </si>
  <si>
    <t>razib@akijfood.com</t>
  </si>
  <si>
    <t>Sales &amp; Marketing (Line-B North)</t>
  </si>
  <si>
    <t>Md. Abul Kalam Azad</t>
  </si>
  <si>
    <t>kalam.azad1@akijfood.com</t>
  </si>
  <si>
    <t>Md. Shanawaz Hossain</t>
  </si>
  <si>
    <t>shahnawaz@akijfood.com</t>
  </si>
  <si>
    <t>Sales &amp; Marketing (Line A South )</t>
  </si>
  <si>
    <t>Md. Omar Faruque</t>
  </si>
  <si>
    <t>omar1@akijfood.com</t>
  </si>
  <si>
    <t>Sales &amp; Marketing( Line-C, Head)</t>
  </si>
  <si>
    <t>Mohammad Abdus Salam Azad</t>
  </si>
  <si>
    <t>abdus.azad@akijbicycle.com</t>
  </si>
  <si>
    <t>Sales &amp; Marketing (Head of Bicycle)</t>
  </si>
  <si>
    <t>Sales &amp; Marketing (Line-B, Head)</t>
  </si>
  <si>
    <t>Sales &amp; Marketing  (Line-A, Head)</t>
  </si>
  <si>
    <t>Md. Jahirul Islam</t>
  </si>
  <si>
    <t>Md. Alomgir Hosen</t>
  </si>
  <si>
    <t>alomgir.hosen@akijfairvalue.com</t>
  </si>
  <si>
    <t>Md. Azizul Haque</t>
  </si>
  <si>
    <t>azizul1@akijfood.com</t>
  </si>
  <si>
    <t>Sales &amp; Marketing (Line A North )</t>
  </si>
  <si>
    <t>Md. Ahsan Habib</t>
  </si>
  <si>
    <t>ahsan1@akijhealthcare.com</t>
  </si>
  <si>
    <t>Sales Head (AHHL)</t>
  </si>
  <si>
    <t>Md Jahidur Rahman</t>
  </si>
  <si>
    <t>Sales Admin</t>
  </si>
  <si>
    <t>jahidur@akijfood.com</t>
  </si>
  <si>
    <t>Gazi Sanaullah</t>
  </si>
  <si>
    <t>sanaullah@akijfood.com</t>
  </si>
  <si>
    <t>Md. Jamal Uddin</t>
  </si>
  <si>
    <t>jamal.uddin@akijfood.com</t>
  </si>
  <si>
    <t>Sk. Muzahidur Rahman</t>
  </si>
  <si>
    <t>muzahidur@akijfood.com</t>
  </si>
  <si>
    <t>Mosharuf Hossain</t>
  </si>
  <si>
    <t>mosharuf@akijfood.com</t>
  </si>
  <si>
    <t xml:space="preserve">Md. Asadujjaman </t>
  </si>
  <si>
    <t>asad1@akijfood.com</t>
  </si>
  <si>
    <t>Tanzina Akter Sumi</t>
  </si>
  <si>
    <t>sumi@akijfood.com</t>
  </si>
  <si>
    <t>S M Ruhul Amin</t>
  </si>
  <si>
    <t>ruhul4@akijfood.com</t>
  </si>
  <si>
    <t xml:space="preserve">Sumaia Sharmin </t>
  </si>
  <si>
    <t>sumaia.sharmin@akijfood.com</t>
  </si>
  <si>
    <t>Tawhidul Islam</t>
  </si>
  <si>
    <t>tawhidul@akijdairy.net</t>
  </si>
  <si>
    <t>Abid Hasan Khan</t>
  </si>
  <si>
    <t>abid.khan@akijfood.com</t>
  </si>
  <si>
    <t>Easin Arafat</t>
  </si>
  <si>
    <t>easin.arafat@akijfood.com</t>
  </si>
  <si>
    <t>01929519049</t>
  </si>
  <si>
    <t>Md. Shohidul Islam</t>
  </si>
  <si>
    <t>shohidul.islam1@akijfood.com</t>
  </si>
  <si>
    <t>01821866620</t>
  </si>
  <si>
    <t>A. S. M. Nazmus Sakib</t>
  </si>
  <si>
    <t>nazmus.shakib@akijfood.com</t>
  </si>
  <si>
    <t>01679019875</t>
  </si>
  <si>
    <t>Jahid Faraji</t>
  </si>
  <si>
    <t>jahid.faraji@akijfood.com</t>
  </si>
  <si>
    <t>01971737973</t>
  </si>
  <si>
    <t xml:space="preserve">Fazley Karim </t>
  </si>
  <si>
    <t>fazley@akijfood.com</t>
  </si>
  <si>
    <t>habibur.rahman1@akijfood.com</t>
  </si>
  <si>
    <t>Md. Asif Ali</t>
  </si>
  <si>
    <t>asif.ali@akijfood.com</t>
  </si>
  <si>
    <t>Md. Sheikh Sadi Alam</t>
  </si>
  <si>
    <t>sheikh.sadi@akijfood.com</t>
  </si>
  <si>
    <t>Md. Rahad Ahmad</t>
  </si>
  <si>
    <t>rahad.ahmad@akijfood.com</t>
  </si>
  <si>
    <t>Md. Sakif Hossain Chowdhury</t>
  </si>
  <si>
    <t>sakif.chowdhury@akijdairy.net</t>
  </si>
  <si>
    <t>Kaium Khandakar</t>
  </si>
  <si>
    <t>kaium1@akijhealthcare.com</t>
  </si>
  <si>
    <t>Mohammad Aslam Uddin</t>
  </si>
  <si>
    <t>aslam.uddin@akijhealthcare.com</t>
  </si>
  <si>
    <t>Md. Riazul Islam</t>
  </si>
  <si>
    <t>riazul@akijfood.com</t>
  </si>
  <si>
    <t>Zakir Hossain</t>
  </si>
  <si>
    <t>zakir1@akijfood.com</t>
  </si>
  <si>
    <t>Lamia Afrin</t>
  </si>
  <si>
    <t>lamia@akijvg.net</t>
  </si>
  <si>
    <t>K.M Aminul Haque</t>
  </si>
  <si>
    <t>aminul.haque@akijee.com</t>
  </si>
  <si>
    <t>Manas Kanti Das</t>
  </si>
  <si>
    <t>manas.kanti@akijhealthcare.com</t>
  </si>
  <si>
    <t>Sales Admin Head - AFBL</t>
  </si>
  <si>
    <t>Sales Admin Head (AEEL, AHHL, ABEL)</t>
  </si>
  <si>
    <t>Md. Moniruzzaman</t>
  </si>
  <si>
    <t>Sales Monitoring &amp; Tracking</t>
  </si>
  <si>
    <t>md.moniruzzaman2@akijee.com</t>
  </si>
  <si>
    <t>Rejowan Biswas</t>
  </si>
  <si>
    <t>rejowan.biswas@akijee.com</t>
  </si>
  <si>
    <t xml:space="preserve">Md. Jabed Chowdhury </t>
  </si>
  <si>
    <t>jabed.chowdhury@akijee.com</t>
  </si>
  <si>
    <t>Purno pritom Sinha</t>
  </si>
  <si>
    <t>purno.sinha@akijhealthcare.com</t>
  </si>
  <si>
    <t>01798469262</t>
  </si>
  <si>
    <t>Md. Eyasin Alam</t>
  </si>
  <si>
    <t>eyasin.alam@akijhealthcare.com</t>
  </si>
  <si>
    <t>01837805018</t>
  </si>
  <si>
    <t>Md. Rajib Hasan</t>
  </si>
  <si>
    <t>Security</t>
  </si>
  <si>
    <t>rajib.hasan@akijfood.com</t>
  </si>
  <si>
    <t>Store</t>
  </si>
  <si>
    <t>Md. Asaduzzaman Chowdhury</t>
  </si>
  <si>
    <t>asad@akijfood.com</t>
  </si>
  <si>
    <t>Md. Ariful Islam</t>
  </si>
  <si>
    <t>ariful3@akijfood.com</t>
  </si>
  <si>
    <t>Saeed Ahmed Fahim</t>
  </si>
  <si>
    <t>Supply Chain</t>
  </si>
  <si>
    <t>fahim1@akijfood.com</t>
  </si>
  <si>
    <t>Md. Mufakkarul Islam</t>
  </si>
  <si>
    <t>mufakkarul@akijfood.com</t>
  </si>
  <si>
    <t>Abidur Rahman Talukder</t>
  </si>
  <si>
    <t>abidur@akijvg.net</t>
  </si>
  <si>
    <t>Md. Rubel Miah</t>
  </si>
  <si>
    <t>rubel@akijfood.com</t>
  </si>
  <si>
    <t>Syed Mozaffar Rahman</t>
  </si>
  <si>
    <t>syed.mozaffar@akijfood.com</t>
  </si>
  <si>
    <t>Md. Mahbub Hasan</t>
  </si>
  <si>
    <t>mahbub.hasan@akijfood.com</t>
  </si>
  <si>
    <t>Shah Navid Farhan</t>
  </si>
  <si>
    <t>shah.farhan@akijfood.com</t>
  </si>
  <si>
    <t>Md. Touhidur Rahman</t>
  </si>
  <si>
    <t>touhidur.rahman@akijfood.com</t>
  </si>
  <si>
    <t>Shaiduzzaman</t>
  </si>
  <si>
    <t>shaiduzzaman@akijfood.com</t>
  </si>
  <si>
    <t>Md. Shofiul Alam Shovon</t>
  </si>
  <si>
    <t>shofiul.shovon@akijfood.com</t>
  </si>
  <si>
    <t>Md. Mahbubur Rahman</t>
  </si>
  <si>
    <t>mahbubur@akijvg.net</t>
  </si>
  <si>
    <t>Kashem Oshman Rabby</t>
  </si>
  <si>
    <t>kashem.rabby@akijdairy.net</t>
  </si>
  <si>
    <t>Md. Sohanur Rahman</t>
  </si>
  <si>
    <t>sohahnur.rahman@akijee.com</t>
  </si>
  <si>
    <t>kalam@akijee.com</t>
  </si>
  <si>
    <t>Supply Chain (AEEL)</t>
  </si>
  <si>
    <t>Md. Rabiul Bashar</t>
  </si>
  <si>
    <t>rabiul.bashar@akijfairvalue.com</t>
  </si>
  <si>
    <t>Md Khairul Bashar Sarker</t>
  </si>
  <si>
    <t>khairul@akijfood.com</t>
  </si>
  <si>
    <t>Emroj Mahmud</t>
  </si>
  <si>
    <t>emroj.mahmud@akijhealthcare.com</t>
  </si>
  <si>
    <t>Rakib Hossain</t>
  </si>
  <si>
    <t>rakib.hossain@akijhealthcare.com</t>
  </si>
  <si>
    <t>Arafat Hossain</t>
  </si>
  <si>
    <t>arafat.hossain1@akijhealthcare.com</t>
  </si>
  <si>
    <t>Md. Abul Hasnat Khan</t>
  </si>
  <si>
    <t>hasnat.khan@akijvg.net</t>
  </si>
  <si>
    <t>Sheikh Arifin Islam</t>
  </si>
  <si>
    <t>sheikh.islam@akijhealthcare.com</t>
  </si>
  <si>
    <t>Md. Masnun Mostafa</t>
  </si>
  <si>
    <t>masnun.mostafa@akijhealthcare.com</t>
  </si>
  <si>
    <t>Zayed Faysal</t>
  </si>
  <si>
    <t>zayed.faysal@akijagro.net</t>
  </si>
  <si>
    <t>Emrul Kowser Emu</t>
  </si>
  <si>
    <t>emrul.emu@akijagro.net</t>
  </si>
  <si>
    <t>Sahadat Hossain</t>
  </si>
  <si>
    <t xml:space="preserve">Officer </t>
  </si>
  <si>
    <t>sahadat@akijppl.net</t>
  </si>
  <si>
    <t>Nurul Afser</t>
  </si>
  <si>
    <t>Senior Officer</t>
  </si>
  <si>
    <t>nurul@akijppl.net</t>
  </si>
  <si>
    <t>Md. Rokebuzzaman</t>
  </si>
  <si>
    <t>rokebuzzaman@akijbicycle.com</t>
  </si>
  <si>
    <t>abdullah7@akijbicycle.com</t>
  </si>
  <si>
    <t>Arifuzzaman Mian</t>
  </si>
  <si>
    <t>arifuzzaman.mian@akijbicycle.com</t>
  </si>
  <si>
    <t>Abir Hossain</t>
  </si>
  <si>
    <t>abir.hossain@akijfood.com</t>
  </si>
  <si>
    <t>Md. Shahadat Hosen</t>
  </si>
  <si>
    <t>shahadat1@akijfood.com</t>
  </si>
  <si>
    <t>Md. Jobyer Ahammed</t>
  </si>
  <si>
    <t>jobyer@akijfood.com</t>
  </si>
  <si>
    <t>G M Tareq Hasan</t>
  </si>
  <si>
    <t>tareq.hasan@akijvg.net</t>
  </si>
  <si>
    <t>Md. Sayed Hossain Tushar</t>
  </si>
  <si>
    <t>sayed.tushar@akijbicycle.com</t>
  </si>
  <si>
    <t>Ehatashamul Haque Tanim</t>
  </si>
  <si>
    <t>ehatashamul.tanim@akijbicycle.com</t>
  </si>
  <si>
    <t>Md. Golam Mostofa</t>
  </si>
  <si>
    <t>golam.mostofa@akijbicycle.com</t>
  </si>
  <si>
    <t>Md. Kobir Hossen</t>
  </si>
  <si>
    <t>kobir.hossen@akijhealthcare.com</t>
  </si>
  <si>
    <t>Md. Shahnewaj</t>
  </si>
  <si>
    <t>md.shahnewaj@akijbicycle.com</t>
  </si>
  <si>
    <t>Md. Tyjul Islam</t>
  </si>
  <si>
    <t>tyjul.islam@akijvg.net</t>
  </si>
  <si>
    <t>Rakibul Alam</t>
  </si>
  <si>
    <t>rakibul3@akijfood.com</t>
  </si>
  <si>
    <t>Nur Mohammad</t>
  </si>
  <si>
    <t>nurmohammad1@akijfood.com</t>
  </si>
  <si>
    <t>Md. Atikur Rahaman</t>
  </si>
  <si>
    <t>atikur2@akijfood.com</t>
  </si>
  <si>
    <t>Mahin Imtiyaz</t>
  </si>
  <si>
    <t>mahin@akijvg.net</t>
  </si>
  <si>
    <t>Md. Shadekur Rahman Mullick</t>
  </si>
  <si>
    <t>shadekur@akijfood.com</t>
  </si>
  <si>
    <t>Farjana Yesmin Moury</t>
  </si>
  <si>
    <t>farjana.moury@akijfood.com</t>
  </si>
  <si>
    <t>Md. Maniruzzaman</t>
  </si>
  <si>
    <t>md.maniruzzaman1@akijfood.com</t>
  </si>
  <si>
    <t>01716636275</t>
  </si>
  <si>
    <t>Md. Tawfiq Haider Chowdhury</t>
  </si>
  <si>
    <t>tawfiq.chowdhury@akijfood.com</t>
  </si>
  <si>
    <t>01729740424</t>
  </si>
  <si>
    <t>Shihab Uddin</t>
  </si>
  <si>
    <t>shihab.uddin@akijee.com</t>
  </si>
  <si>
    <t>junayed.hossain@akijfood.com</t>
  </si>
  <si>
    <t>Md. Alifuzzaman</t>
  </si>
  <si>
    <t>Trade Marketing</t>
  </si>
  <si>
    <t>md.alifuzzaman@akijfood.com</t>
  </si>
  <si>
    <t xml:space="preserve">Md. Abdus Salam </t>
  </si>
  <si>
    <t>abdus.salam3@akijee.com</t>
  </si>
  <si>
    <t>01832303721</t>
  </si>
  <si>
    <t>Md. Golam Rabby Rifat</t>
  </si>
  <si>
    <t>golam.rifat@akijhealthcare.com</t>
  </si>
  <si>
    <t>mamun4@akijfood.com</t>
  </si>
  <si>
    <t>Md. Sajjad Hossen</t>
  </si>
  <si>
    <t>Transport</t>
  </si>
  <si>
    <t>sajjad@akijfood.com</t>
  </si>
  <si>
    <t>Md. Raseduzzaman</t>
  </si>
  <si>
    <t>raseduzzaman@akijfood.com</t>
  </si>
  <si>
    <t>Mst. Selima Aslam</t>
  </si>
  <si>
    <t>selima.aslam@akijvg.net</t>
  </si>
  <si>
    <t>Md. Shimul Mahmud</t>
  </si>
  <si>
    <t>Trust</t>
  </si>
  <si>
    <t>AMT, Corporate Office(Niketon)</t>
  </si>
  <si>
    <t>shimul2@akijfood.com</t>
  </si>
  <si>
    <t>Tanvir Mahmud</t>
  </si>
  <si>
    <t>tanvir@akijvg.net</t>
  </si>
  <si>
    <t>Shaharia Sharmin</t>
  </si>
  <si>
    <t>sharmin@akijvg.net</t>
  </si>
  <si>
    <t>Likhon Shaha</t>
  </si>
  <si>
    <t>likhon@akijvg.net</t>
  </si>
  <si>
    <t>Molla Omar Faruk</t>
  </si>
  <si>
    <t>omar3@akijfood.com</t>
  </si>
  <si>
    <t>Md. Rasel Islam</t>
  </si>
  <si>
    <t>rasel2@akijvg.net</t>
  </si>
  <si>
    <t>Md. Zakaria Pervez</t>
  </si>
  <si>
    <t>zakaria@akijvg.net</t>
  </si>
  <si>
    <t>Farhana Akter</t>
  </si>
  <si>
    <t>farhanaakter@akijvg.net</t>
  </si>
  <si>
    <t>Mst. Kamrunnahar Sumi</t>
  </si>
  <si>
    <t>sumi1@akijvg.net</t>
  </si>
  <si>
    <t>Md. Shadat Hossen Rayhan</t>
  </si>
  <si>
    <t>shadat@akijvg.net</t>
  </si>
  <si>
    <t>Shamima Sakendar</t>
  </si>
  <si>
    <t>shamima.sakendar@akijvg.net</t>
  </si>
  <si>
    <t>Sofiullah</t>
  </si>
  <si>
    <t>mufti.sofiullah@akijvg.net</t>
  </si>
  <si>
    <t>Rajib Karmaker</t>
  </si>
  <si>
    <t>rajib.karmaker@akijvg.net</t>
  </si>
  <si>
    <t>Mahmuda Akter</t>
  </si>
  <si>
    <t>mahmuda.akter@akijvg.net</t>
  </si>
  <si>
    <t>Md. Ratul Sheikh</t>
  </si>
  <si>
    <t>ratul.sheikh@akijvg.net</t>
  </si>
  <si>
    <t>Rafa Faria Khanam</t>
  </si>
  <si>
    <t>rafa.faria@akijvg.net</t>
  </si>
  <si>
    <t>Mariatul Islam</t>
  </si>
  <si>
    <t>mariatul.islam@akijvg.net</t>
  </si>
  <si>
    <t>Amena Akter</t>
  </si>
  <si>
    <t>amena.akter@akijvg.net</t>
  </si>
  <si>
    <t>Kazi Sohanul Haque</t>
  </si>
  <si>
    <t>sohanul.haque@akijvg.net</t>
  </si>
  <si>
    <t>Jannatul Naim</t>
  </si>
  <si>
    <t>jannatul.naim@akijvg.net</t>
  </si>
  <si>
    <t xml:space="preserve">Mohammadullah Ashrafi </t>
  </si>
  <si>
    <t>m.ashrafi@akijvg.net</t>
  </si>
  <si>
    <t>Trust (Head)</t>
  </si>
  <si>
    <t>Md. Tajammul -Al- Haque</t>
  </si>
  <si>
    <t>Adviser</t>
  </si>
  <si>
    <t>tajammul.haque@akijvg.net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</si>
</sst>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0000"/>
    <numFmt numFmtId="165" formatCode="[$-409]d\-mmm\-yy;@"/>
    <numFmt numFmtId="166" formatCode="[$-409]d\-mmm\-yyyy;@"/>
  </numFmts>
  <fonts count="10">
    <font>
      <sz val="11"/>
      <color rgb="FF000000"/>
      <name val="Calibri"/>
      <family val="2"/>
      <scheme val="minor"/>
    </font>
    <font>
      <sz val="12"/>
      <color rgb="FF000000"/>
      <name val="Calibri"/>
      <family val="2"/>
      <scheme val="minor"/>
    </font>
    <font>
      <sz val="12"/>
      <color rgb="FF333333"/>
      <name val="Segoe UI"/>
      <family val="2"/>
    </font>
    <font>
      <sz val="18"/>
      <color rgb="FF000000"/>
      <name val="Calibri"/>
      <family val="2"/>
      <scheme val="minor"/>
    </font>
    <font>
      <b/>
      <sz val="18"/>
      <color theme="1"/>
      <name val="Calibri"/>
      <family val="2"/>
      <scheme val="minor"/>
    </font>
    <font>
      <b/>
      <sz val="12"/>
      <color theme="1"/>
      <name val="Calibri"/>
      <family val="2"/>
      <scheme val="minor"/>
    </font>
    <font>
      <b/>
      <sz val="36"/>
      <name val="Calibri"/>
      <family val="2"/>
      <scheme val="minor"/>
    </font>
    <font>
      <b/>
      <sz val="12"/>
      <color rgb="FF000000"/>
      <name val="Calibri"/>
      <family val="2"/>
      <scheme val="minor"/>
    </font>
    <font>
      <sz val="8"/>
      <name val="Calibri"/>
      <family val="2"/>
      <scheme val="minor"/>
    </font>
    <font>
      <u/>
      <sz val="11"/>
      <color theme="10"/>
      <name val="Calibri"/>
      <family val="2"/>
      <scheme val="minor"/>
    </font>
  </fonts>
  <fills count="8">
    <fill>
      <patternFill patternType="none"/>
    </fill>
    <fill>
      <patternFill patternType="gray125"/>
    </fill>
    <fill>
      <patternFill patternType="solid">
        <fgColor theme="4" tint="0.79998168889431442"/>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theme="4" tint="0.79998168889431442"/>
        <bgColor theme="4" tint="0.79998168889431442"/>
      </patternFill>
    </fill>
    <fill>
      <patternFill patternType="solid">
        <fgColor theme="5" tint="0.79998168889431442"/>
        <bgColor indexed="64"/>
      </patternFill>
    </fill>
    <fill>
      <patternFill patternType="solid">
        <fgColor rgb="FFC6E0B4"/>
        <bgColor rgb="FF000000"/>
      </patternFill>
    </fill>
  </fills>
  <borders count="11">
    <border>
      <left/>
      <right/>
      <top/>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style="thin">
        <color indexed="64"/>
      </right>
      <top/>
      <bottom/>
      <diagonal/>
    </border>
    <border>
      <left style="medium">
        <color indexed="64"/>
      </left>
      <right style="thin">
        <color indexed="64"/>
      </right>
      <top/>
      <bottom/>
      <diagonal/>
    </border>
    <border>
      <left style="thin">
        <color indexed="64"/>
      </left>
      <right style="medium">
        <color indexed="64"/>
      </right>
      <top/>
      <bottom/>
      <diagonal/>
    </border>
  </borders>
  <cellStyleXfs count="2">
    <xf numFmtId="0" fontId="0" fillId="0" borderId="0"/>
    <xf numFmtId="0" fontId="9" fillId="0" borderId="0" applyNumberFormat="0" applyFill="0" applyBorder="0" applyAlignment="0" applyProtection="0"/>
  </cellStyleXfs>
  <cellXfs count="46">
    <xf numFmtId="0" fontId="0" fillId="0" borderId="0" xfId="0"/>
    <xf numFmtId="0" fontId="0" fillId="0" borderId="0" xfId="0" applyAlignment="1">
      <alignment horizontal="center" vertical="center"/>
    </xf>
    <xf numFmtId="0" fontId="7" fillId="0" borderId="0" xfId="0" applyFont="1" applyAlignment="1">
      <alignment horizontal="center" vertical="center"/>
    </xf>
    <xf numFmtId="0" fontId="1" fillId="0" borderId="1" xfId="0" applyFont="1" applyBorder="1" applyAlignment="1">
      <alignment horizontal="center" vertical="center"/>
    </xf>
    <xf numFmtId="0" fontId="2" fillId="0" borderId="1" xfId="0" applyFont="1" applyBorder="1" applyAlignment="1">
      <alignment vertical="center" readingOrder="1"/>
    </xf>
    <xf numFmtId="0" fontId="2" fillId="0" borderId="1" xfId="0" applyFont="1" applyBorder="1" applyAlignment="1">
      <alignment vertical="center" wrapText="1" readingOrder="1"/>
    </xf>
    <xf numFmtId="164" fontId="2" fillId="0" borderId="1" xfId="0" applyNumberFormat="1" applyFont="1" applyBorder="1" applyAlignment="1">
      <alignment horizontal="center" vertical="center" readingOrder="1"/>
    </xf>
    <xf numFmtId="0" fontId="0" fillId="0" borderId="0" xfId="0" applyAlignment="1">
      <alignment vertical="center"/>
    </xf>
    <xf numFmtId="0" fontId="2" fillId="0" borderId="1" xfId="0" applyFont="1" applyBorder="1" applyAlignment="1">
      <alignment horizontal="center" vertical="center" readingOrder="1"/>
    </xf>
    <xf numFmtId="1" fontId="2" fillId="0" borderId="1" xfId="0" applyNumberFormat="1" applyFont="1" applyBorder="1" applyAlignment="1">
      <alignment horizontal="center" vertical="center" readingOrder="1"/>
    </xf>
    <xf numFmtId="0" fontId="3" fillId="0" borderId="0" xfId="0" applyFont="1" applyAlignment="1">
      <alignment vertical="center"/>
    </xf>
    <xf numFmtId="0" fontId="0" fillId="0" borderId="0" xfId="0" applyAlignment="1">
      <alignment vertical="center" wrapText="1"/>
    </xf>
    <xf numFmtId="164" fontId="0" fillId="0" borderId="0" xfId="0" applyNumberFormat="1" applyAlignment="1">
      <alignment horizontal="center" vertical="center"/>
    </xf>
    <xf numFmtId="1" fontId="0" fillId="0" borderId="0" xfId="0" applyNumberFormat="1" applyAlignment="1">
      <alignment horizontal="center" vertical="center"/>
    </xf>
    <xf numFmtId="1" fontId="2" fillId="3" borderId="1" xfId="0" applyNumberFormat="1" applyFont="1" applyFill="1" applyBorder="1" applyAlignment="1">
      <alignment horizontal="center" vertical="center" readingOrder="1"/>
    </xf>
    <xf numFmtId="0" fontId="9" fillId="0" borderId="1" xfId="1" applyBorder="1" applyAlignment="1">
      <alignment vertical="center" readingOrder="1"/>
    </xf>
    <xf numFmtId="0" fontId="9" fillId="0" borderId="1" xfId="1" applyFill="1" applyBorder="1" applyAlignment="1">
      <alignment vertical="center" readingOrder="1"/>
    </xf>
    <xf numFmtId="0" fontId="2" fillId="5" borderId="1" xfId="0" applyFont="1" applyFill="1" applyBorder="1" applyAlignment="1">
      <alignment horizontal="center" vertical="center" readingOrder="1"/>
    </xf>
    <xf numFmtId="0" fontId="2" fillId="3" borderId="1" xfId="0" applyFont="1" applyFill="1" applyBorder="1" applyAlignment="1">
      <alignment vertical="center" readingOrder="1"/>
    </xf>
    <xf numFmtId="166" fontId="2" fillId="0" borderId="1" xfId="0" applyNumberFormat="1" applyFont="1" applyBorder="1" applyAlignment="1">
      <alignment vertical="center" readingOrder="1"/>
    </xf>
    <xf numFmtId="0" fontId="5" fillId="3" borderId="9" xfId="0" applyFont="1" applyFill="1" applyBorder="1" applyAlignment="1">
      <alignment horizontal="center" vertical="center" readingOrder="1"/>
    </xf>
    <xf numFmtId="0" fontId="5" fillId="3" borderId="8" xfId="0" applyFont="1" applyFill="1" applyBorder="1" applyAlignment="1">
      <alignment horizontal="center" vertical="center" readingOrder="1"/>
    </xf>
    <xf numFmtId="0" fontId="5" fillId="3" borderId="8" xfId="0" applyFont="1" applyFill="1" applyBorder="1" applyAlignment="1">
      <alignment horizontal="center" vertical="center" wrapText="1" readingOrder="1"/>
    </xf>
    <xf numFmtId="164" fontId="5" fillId="3" borderId="10" xfId="0" applyNumberFormat="1" applyFont="1" applyFill="1" applyBorder="1" applyAlignment="1">
      <alignment horizontal="center" vertical="center" readingOrder="1"/>
    </xf>
    <xf numFmtId="1" fontId="5" fillId="4" borderId="0" xfId="0" applyNumberFormat="1" applyFont="1" applyFill="1" applyAlignment="1">
      <alignment horizontal="center" vertical="center" readingOrder="1"/>
    </xf>
    <xf numFmtId="0" fontId="5" fillId="4" borderId="9" xfId="0" applyFont="1" applyFill="1" applyBorder="1" applyAlignment="1">
      <alignment horizontal="center" vertical="center" readingOrder="1"/>
    </xf>
    <xf numFmtId="0" fontId="5" fillId="4" borderId="8" xfId="0" applyFont="1" applyFill="1" applyBorder="1" applyAlignment="1">
      <alignment horizontal="center" vertical="center" readingOrder="1"/>
    </xf>
    <xf numFmtId="0" fontId="5" fillId="6" borderId="8" xfId="0" applyFont="1" applyFill="1" applyBorder="1" applyAlignment="1">
      <alignment horizontal="center" vertical="center" readingOrder="1"/>
    </xf>
    <xf numFmtId="0" fontId="5" fillId="6" borderId="10" xfId="0" applyFont="1" applyFill="1" applyBorder="1" applyAlignment="1">
      <alignment horizontal="center" vertical="center"/>
    </xf>
    <xf numFmtId="0" fontId="2" fillId="5" borderId="1" xfId="0" applyFont="1" applyFill="1" applyBorder="1" applyAlignment="1">
      <alignment vertical="center" readingOrder="1"/>
    </xf>
    <xf numFmtId="165" fontId="2" fillId="0" borderId="1" xfId="0" applyNumberFormat="1" applyFont="1" applyBorder="1" applyAlignment="1">
      <alignment horizontal="center" vertical="center" wrapText="1" readingOrder="1"/>
    </xf>
    <xf numFmtId="0" fontId="0" fillId="0" borderId="0" xfId="0" applyAlignment="1">
      <alignment horizontal="center" vertical="center" wrapText="1"/>
    </xf>
    <xf numFmtId="0" fontId="2" fillId="0" borderId="1" xfId="0" applyFont="1" applyBorder="1" applyAlignment="1">
      <alignment readingOrder="1"/>
    </xf>
    <xf numFmtId="0" fontId="2" fillId="7" borderId="1" xfId="0" applyFont="1" applyFill="1" applyBorder="1" applyAlignment="1">
      <alignment readingOrder="1"/>
    </xf>
    <xf numFmtId="0" fontId="4" fillId="3" borderId="5" xfId="0" applyFont="1" applyFill="1" applyBorder="1" applyAlignment="1">
      <alignment horizontal="center" vertical="center"/>
    </xf>
    <xf numFmtId="0" fontId="4" fillId="3" borderId="6" xfId="0" applyFont="1" applyFill="1" applyBorder="1" applyAlignment="1">
      <alignment horizontal="center" vertical="center"/>
    </xf>
    <xf numFmtId="0" fontId="4" fillId="3" borderId="7" xfId="0" applyFont="1" applyFill="1" applyBorder="1" applyAlignment="1">
      <alignment horizontal="center" vertical="center"/>
    </xf>
    <xf numFmtId="0" fontId="4" fillId="4" borderId="3" xfId="0" applyFont="1" applyFill="1" applyBorder="1" applyAlignment="1">
      <alignment horizontal="center" vertical="center"/>
    </xf>
    <xf numFmtId="0" fontId="4" fillId="4" borderId="4" xfId="0" applyFont="1" applyFill="1" applyBorder="1" applyAlignment="1">
      <alignment horizontal="center" vertical="center"/>
    </xf>
    <xf numFmtId="0" fontId="4" fillId="4" borderId="2" xfId="0" applyFont="1" applyFill="1" applyBorder="1" applyAlignment="1">
      <alignment horizontal="center" vertical="center"/>
    </xf>
    <xf numFmtId="0" fontId="6" fillId="2" borderId="3" xfId="0" applyFont="1" applyFill="1" applyBorder="1" applyAlignment="1">
      <alignment horizontal="center" vertical="center"/>
    </xf>
    <xf numFmtId="0" fontId="6" fillId="2" borderId="4" xfId="0" applyFont="1" applyFill="1" applyBorder="1" applyAlignment="1">
      <alignment horizontal="center" vertical="center"/>
    </xf>
    <xf numFmtId="0" fontId="6" fillId="2" borderId="2" xfId="0" applyFont="1" applyFill="1" applyBorder="1" applyAlignment="1">
      <alignment horizontal="center" vertical="center"/>
    </xf>
    <xf numFmtId="0" fontId="4" fillId="6" borderId="3" xfId="0" applyFont="1" applyFill="1" applyBorder="1" applyAlignment="1">
      <alignment horizontal="center" vertical="center"/>
    </xf>
    <xf numFmtId="0" fontId="4" fillId="6" borderId="4" xfId="0" applyFont="1" applyFill="1" applyBorder="1" applyAlignment="1">
      <alignment horizontal="center" vertical="center"/>
    </xf>
    <xf numFmtId="0" fontId="4" fillId="6" borderId="2" xfId="0" applyFont="1" applyFill="1" applyBorder="1" applyAlignment="1">
      <alignment horizontal="center" vertical="center"/>
    </xf>
  </cellXfs>
  <cellStyles count="2">
    <cellStyle name="Hyperlink" xfId="1" builtinId="8"/>
    <cellStyle name="Normal" xfId="0" builtinId="0"/>
  </cellStyles>
  <dxfs count="23">
    <dxf>
      <font>
        <b val="0"/>
        <i val="0"/>
        <strike val="0"/>
        <condense val="0"/>
        <extend val="0"/>
        <outline val="0"/>
        <shadow val="0"/>
        <u val="none"/>
        <vertAlign val="baseline"/>
        <sz val="12"/>
        <color rgb="FF333333"/>
        <name val="Segoe UI"/>
        <family val="2"/>
        <scheme val="none"/>
      </font>
      <numFmt numFmtId="0" formatCode="General"/>
      <fill>
        <patternFill patternType="none">
          <fgColor indexed="64"/>
          <bgColor auto="1"/>
        </patternFill>
      </fill>
      <alignment horizontal="general" vertical="center" textRotation="0" wrapText="0" indent="0" justifyLastLine="0" shrinkToFit="0" readingOrder="1"/>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rgb="FF000000"/>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rgb="FF000000"/>
        <name val="Calibri"/>
        <family val="2"/>
        <scheme val="minor"/>
      </font>
      <fill>
        <patternFill patternType="none">
          <fgColor indexed="64"/>
          <bgColor auto="1"/>
        </patternFill>
      </fill>
      <alignment horizontal="center" vertical="center" textRotation="0" wrapText="0" indent="0" justifyLastLine="0" shrinkToFit="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rgb="FF333333"/>
        <name val="Segoe UI"/>
        <family val="2"/>
        <scheme val="none"/>
      </font>
      <fill>
        <patternFill patternType="none">
          <fgColor indexed="64"/>
          <bgColor auto="1"/>
        </patternFill>
      </fill>
      <alignment horizontal="general" vertical="center" textRotation="0" wrapText="0" indent="0" justifyLastLine="0" shrinkToFit="0" readingOrder="1"/>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rgb="FF333333"/>
        <name val="Segoe UI"/>
        <family val="2"/>
        <scheme val="none"/>
      </font>
      <fill>
        <patternFill patternType="none">
          <fgColor indexed="64"/>
          <bgColor auto="1"/>
        </patternFill>
      </fill>
      <alignment horizontal="general" vertical="center" textRotation="0" wrapText="0" indent="0" justifyLastLine="0" shrinkToFit="0" readingOrder="1"/>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rgb="FF333333"/>
        <name val="Segoe UI"/>
        <family val="2"/>
        <scheme val="none"/>
      </font>
      <fill>
        <patternFill patternType="none">
          <fgColor indexed="64"/>
          <bgColor auto="1"/>
        </patternFill>
      </fill>
      <alignment horizontal="general" vertical="center" textRotation="0" wrapText="0" indent="0" justifyLastLine="0" shrinkToFit="0" readingOrder="1"/>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rgb="FF333333"/>
        <name val="Segoe UI"/>
        <family val="2"/>
        <scheme val="none"/>
      </font>
      <numFmt numFmtId="1" formatCode="0"/>
      <alignment horizontal="center" vertical="center" textRotation="0" wrapText="0" indent="0" justifyLastLine="0" shrinkToFit="0" readingOrder="1"/>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rgb="FF333333"/>
        <name val="Segoe UI"/>
        <family val="2"/>
        <scheme val="none"/>
      </font>
      <numFmt numFmtId="164" formatCode="00000000000"/>
      <fill>
        <patternFill patternType="none">
          <fgColor indexed="64"/>
          <bgColor auto="1"/>
        </patternFill>
      </fill>
      <alignment horizontal="center" vertical="center" textRotation="0" wrapText="0" indent="0" justifyLastLine="0" shrinkToFit="0" readingOrder="1"/>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rgb="FF333333"/>
        <name val="Segoe UI"/>
        <family val="2"/>
        <scheme val="none"/>
      </font>
      <numFmt numFmtId="164" formatCode="00000000000"/>
      <fill>
        <patternFill patternType="none">
          <fgColor indexed="64"/>
          <bgColor auto="1"/>
        </patternFill>
      </fill>
      <alignment horizontal="center" vertical="center" textRotation="0" wrapText="0" indent="0" justifyLastLine="0" shrinkToFit="0" readingOrder="1"/>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rgb="FF333333"/>
        <name val="Segoe UI"/>
        <family val="2"/>
        <scheme val="none"/>
      </font>
      <numFmt numFmtId="0" formatCode="General"/>
      <fill>
        <patternFill patternType="none">
          <fgColor indexed="64"/>
          <bgColor auto="1"/>
        </patternFill>
      </fill>
      <alignment horizontal="general" vertical="center" textRotation="0" wrapText="0" indent="0" justifyLastLine="0" shrinkToFit="0" readingOrder="1"/>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rgb="FF333333"/>
        <name val="Segoe UI"/>
        <family val="2"/>
        <scheme val="none"/>
      </font>
      <fill>
        <patternFill patternType="none">
          <fgColor indexed="64"/>
          <bgColor auto="1"/>
        </patternFill>
      </fill>
      <alignment horizontal="general" vertical="center" textRotation="0" wrapText="0" indent="0" justifyLastLine="0" shrinkToFit="0" readingOrder="1"/>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rgb="FF333333"/>
        <name val="Segoe UI"/>
        <family val="2"/>
        <scheme val="none"/>
      </font>
      <numFmt numFmtId="166" formatCode="[$-409]d\-mmm\-yyyy;@"/>
      <alignment horizontal="general" vertical="center" textRotation="0" wrapText="0" indent="0" justifyLastLine="0" shrinkToFit="0" readingOrder="1"/>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rgb="FF333333"/>
        <name val="Segoe UI"/>
        <family val="2"/>
        <scheme val="none"/>
      </font>
      <numFmt numFmtId="166" formatCode="[$-409]d\-mmm\-yyyy;@"/>
      <fill>
        <patternFill patternType="none">
          <fgColor indexed="64"/>
          <bgColor auto="1"/>
        </patternFill>
      </fill>
      <alignment horizontal="general" vertical="center" textRotation="0" wrapText="0" indent="0" justifyLastLine="0" shrinkToFit="0" readingOrder="1"/>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rgb="FF333333"/>
        <name val="Segoe UI"/>
        <family val="2"/>
        <scheme val="none"/>
      </font>
      <numFmt numFmtId="165" formatCode="[$-409]d\-mmm\-yy;@"/>
      <fill>
        <patternFill patternType="none">
          <fgColor indexed="64"/>
          <bgColor auto="1"/>
        </patternFill>
      </fill>
      <alignment horizontal="center" vertical="center" textRotation="0" wrapText="1" indent="0" justifyLastLine="0" shrinkToFit="0" readingOrder="1"/>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rgb="FF333333"/>
        <name val="Segoe UI"/>
        <family val="2"/>
        <scheme val="none"/>
      </font>
      <numFmt numFmtId="0" formatCode="General"/>
      <alignment horizontal="general" vertical="center" textRotation="0" wrapText="0" indent="0" justifyLastLine="0" shrinkToFit="0" readingOrder="1"/>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rgb="FF333333"/>
        <name val="Segoe UI"/>
        <family val="2"/>
        <scheme val="none"/>
      </font>
      <numFmt numFmtId="0" formatCode="General"/>
      <alignment horizontal="general" vertical="center" textRotation="0" wrapText="0" indent="0" justifyLastLine="0" shrinkToFit="0" readingOrder="1"/>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rgb="FF333333"/>
        <name val="Segoe UI"/>
        <family val="2"/>
        <scheme val="none"/>
      </font>
      <fill>
        <patternFill patternType="none">
          <fgColor indexed="64"/>
          <bgColor auto="1"/>
        </patternFill>
      </fill>
      <alignment horizontal="general" vertical="center" textRotation="0" wrapText="1" indent="0" justifyLastLine="0" shrinkToFit="0" readingOrder="1"/>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rgb="FF333333"/>
        <name val="Segoe UI"/>
        <family val="2"/>
        <scheme val="none"/>
      </font>
      <fill>
        <patternFill patternType="none">
          <fgColor indexed="64"/>
          <bgColor auto="1"/>
        </patternFill>
      </fill>
      <alignment horizontal="center" vertical="center" textRotation="0" wrapText="0" indent="0" justifyLastLine="0" shrinkToFit="0" readingOrder="1"/>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rgb="FF000000"/>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bottom style="medium">
          <color indexed="64"/>
        </bottom>
      </border>
    </dxf>
    <dxf>
      <border outline="0">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2"/>
        <color rgb="FF333333"/>
        <name val="Segoe UI"/>
        <family val="2"/>
        <scheme val="none"/>
      </font>
      <fill>
        <patternFill patternType="none">
          <fgColor indexed="64"/>
          <bgColor auto="1"/>
        </patternFill>
      </fill>
      <alignment horizontal="general" vertical="center" textRotation="0" wrapText="0" indent="0" justifyLastLine="0" shrinkToFit="0" readingOrder="1"/>
    </dxf>
    <dxf>
      <font>
        <b/>
        <i val="0"/>
        <strike val="0"/>
        <condense val="0"/>
        <extend val="0"/>
        <outline val="0"/>
        <shadow val="0"/>
        <u val="none"/>
        <vertAlign val="baseline"/>
        <sz val="12"/>
        <color theme="0"/>
        <name val="Calibri"/>
        <family val="2"/>
        <scheme val="minor"/>
      </font>
      <fill>
        <patternFill patternType="none">
          <fgColor indexed="64"/>
          <bgColor auto="1"/>
        </patternFill>
      </fill>
      <alignment horizontal="center" vertical="center" textRotation="0" wrapText="0" indent="0" justifyLastLine="0" shrinkToFit="0" readingOrder="1"/>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microsoft.com/office/2007/relationships/slicerCache" Target="slicerCaches/slicerCache1.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microsoft.com/office/2007/relationships/slicerCache" Target="slicerCaches/slicerCache2.xml"/><Relationship Id="rId9"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twoCellAnchor editAs="absolute">
    <xdr:from>
      <xdr:col>0</xdr:col>
      <xdr:colOff>25400</xdr:colOff>
      <xdr:row>0</xdr:row>
      <xdr:rowOff>19051</xdr:rowOff>
    </xdr:from>
    <xdr:to>
      <xdr:col>2</xdr:col>
      <xdr:colOff>472888</xdr:colOff>
      <xdr:row>0</xdr:row>
      <xdr:rowOff>952501</xdr:rowOff>
    </xdr:to>
    <mc:AlternateContent xmlns:mc="http://schemas.openxmlformats.org/markup-compatibility/2006" xmlns:sle15="http://schemas.microsoft.com/office/drawing/2012/slicer">
      <mc:Choice Requires="sle15">
        <xdr:graphicFrame macro="">
          <xdr:nvGraphicFramePr>
            <xdr:cNvPr id="5" name="Status">
              <a:extLst>
                <a:ext uri="{FF2B5EF4-FFF2-40B4-BE49-F238E27FC236}">
                  <a16:creationId xmlns:a16="http://schemas.microsoft.com/office/drawing/2014/main" id="{45E16C62-DCBE-85AC-563A-CE46F5A0040F}"/>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25400" y="19051"/>
              <a:ext cx="1828800" cy="93345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2</xdr:col>
      <xdr:colOff>555438</xdr:colOff>
      <xdr:row>0</xdr:row>
      <xdr:rowOff>19051</xdr:rowOff>
    </xdr:from>
    <xdr:to>
      <xdr:col>3</xdr:col>
      <xdr:colOff>352612</xdr:colOff>
      <xdr:row>0</xdr:row>
      <xdr:rowOff>952500</xdr:rowOff>
    </xdr:to>
    <mc:AlternateContent xmlns:mc="http://schemas.openxmlformats.org/markup-compatibility/2006" xmlns:sle15="http://schemas.microsoft.com/office/drawing/2012/slicer">
      <mc:Choice Requires="sle15">
        <xdr:graphicFrame macro="">
          <xdr:nvGraphicFramePr>
            <xdr:cNvPr id="2" name="Department Head Status">
              <a:extLst>
                <a:ext uri="{FF2B5EF4-FFF2-40B4-BE49-F238E27FC236}">
                  <a16:creationId xmlns:a16="http://schemas.microsoft.com/office/drawing/2014/main" id="{4C4D6106-AD84-987F-3D7B-4BE2275BD464}"/>
                </a:ext>
              </a:extLst>
            </xdr:cNvPr>
            <xdr:cNvGraphicFramePr/>
          </xdr:nvGraphicFramePr>
          <xdr:xfrm>
            <a:off x="0" y="0"/>
            <a:ext cx="0" cy="0"/>
          </xdr:xfrm>
          <a:graphic>
            <a:graphicData uri="http://schemas.microsoft.com/office/drawing/2010/slicer">
              <sle:slicer xmlns:sle="http://schemas.microsoft.com/office/drawing/2010/slicer" name="Department Head Status"/>
            </a:graphicData>
          </a:graphic>
        </xdr:graphicFrame>
      </mc:Choice>
      <mc:Fallback xmlns="">
        <xdr:sp macro="" textlink="">
          <xdr:nvSpPr>
            <xdr:cNvPr id="0" name=""/>
            <xdr:cNvSpPr>
              <a:spLocks noTextEdit="1"/>
            </xdr:cNvSpPr>
          </xdr:nvSpPr>
          <xdr:spPr>
            <a:xfrm>
              <a:off x="1936750" y="19051"/>
              <a:ext cx="2292350" cy="933449"/>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akijfoodltd-my.sharepoint.com/personal/jamshed_amin_akijhealthcare_com/Documents/Desktop/Office%20Files/Employee%20List/Updated/Book1.xlsx" TargetMode="External"/><Relationship Id="rId1" Type="http://schemas.openxmlformats.org/officeDocument/2006/relationships/externalLinkPath" Target="Book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EmployeeMonthLyStatus"/>
    </sheetNames>
    <sheetDataSet>
      <sheetData sheetId="0">
        <row r="2">
          <cell r="B2">
            <v>1013</v>
          </cell>
          <cell r="C2" t="str">
            <v>R017</v>
          </cell>
          <cell r="D2" t="str">
            <v>Md. Rezaul Karim</v>
          </cell>
          <cell r="E2">
            <v>1013</v>
          </cell>
          <cell r="F2" t="str">
            <v>Resource Management &amp; Development</v>
          </cell>
          <cell r="G2" t="str">
            <v>General Manager</v>
          </cell>
        </row>
        <row r="3">
          <cell r="B3">
            <v>1040</v>
          </cell>
          <cell r="C3" t="str">
            <v>R496</v>
          </cell>
          <cell r="D3" t="str">
            <v>Md. Jewel Sharif</v>
          </cell>
          <cell r="E3">
            <v>1040</v>
          </cell>
          <cell r="F3" t="str">
            <v>Accounts And Finance</v>
          </cell>
          <cell r="G3" t="str">
            <v>Manager</v>
          </cell>
        </row>
        <row r="4">
          <cell r="B4">
            <v>1041</v>
          </cell>
          <cell r="C4" t="str">
            <v>R550</v>
          </cell>
          <cell r="D4" t="str">
            <v>Habibur Rahman</v>
          </cell>
          <cell r="E4">
            <v>1041</v>
          </cell>
          <cell r="F4" t="str">
            <v>Accounts And Finance</v>
          </cell>
          <cell r="G4" t="str">
            <v>Deputy Manager</v>
          </cell>
        </row>
        <row r="5">
          <cell r="B5">
            <v>1048</v>
          </cell>
          <cell r="C5" t="str">
            <v>R458</v>
          </cell>
          <cell r="D5" t="str">
            <v>Nazmun Nahar</v>
          </cell>
          <cell r="E5">
            <v>1048</v>
          </cell>
          <cell r="F5" t="str">
            <v>Accounts And Finance</v>
          </cell>
          <cell r="G5" t="str">
            <v>Assistant Manager</v>
          </cell>
        </row>
        <row r="6">
          <cell r="B6">
            <v>1151</v>
          </cell>
          <cell r="C6" t="str">
            <v>R182</v>
          </cell>
          <cell r="D6" t="str">
            <v>Md. Shaheb Ali</v>
          </cell>
          <cell r="E6">
            <v>1151</v>
          </cell>
          <cell r="F6" t="str">
            <v>Security</v>
          </cell>
          <cell r="G6" t="str">
            <v>Junior Executive</v>
          </cell>
        </row>
        <row r="7">
          <cell r="B7">
            <v>1188</v>
          </cell>
          <cell r="C7" t="str">
            <v>R444</v>
          </cell>
          <cell r="D7" t="str">
            <v>Mohammad Istiak Syeed</v>
          </cell>
          <cell r="E7">
            <v>1188</v>
          </cell>
          <cell r="F7" t="str">
            <v>Internal Audit &amp; Compliance</v>
          </cell>
          <cell r="G7" t="str">
            <v>Deputy Manager</v>
          </cell>
        </row>
        <row r="8">
          <cell r="B8">
            <v>1191</v>
          </cell>
          <cell r="C8" t="str">
            <v>R581</v>
          </cell>
          <cell r="D8" t="str">
            <v>Md. Mofijul Islam Talukder</v>
          </cell>
          <cell r="E8">
            <v>1191</v>
          </cell>
          <cell r="F8" t="str">
            <v>Internal Audit &amp; Compliance</v>
          </cell>
          <cell r="G8" t="str">
            <v>Deputy Manager</v>
          </cell>
        </row>
        <row r="9">
          <cell r="B9">
            <v>1312</v>
          </cell>
          <cell r="C9" t="str">
            <v>R628</v>
          </cell>
          <cell r="D9" t="str">
            <v>Mantu Halder</v>
          </cell>
          <cell r="E9">
            <v>1312</v>
          </cell>
          <cell r="F9" t="str">
            <v>Admin</v>
          </cell>
          <cell r="G9" t="str">
            <v>Senior Executive</v>
          </cell>
        </row>
        <row r="10">
          <cell r="B10">
            <v>1315</v>
          </cell>
          <cell r="C10" t="str">
            <v>R260</v>
          </cell>
          <cell r="D10" t="str">
            <v>Md. Golam Kibria</v>
          </cell>
          <cell r="E10">
            <v>1315</v>
          </cell>
          <cell r="F10" t="str">
            <v>Clemon Sports</v>
          </cell>
          <cell r="G10" t="str">
            <v>Deputy Manager</v>
          </cell>
        </row>
        <row r="11">
          <cell r="B11">
            <v>1318</v>
          </cell>
          <cell r="C11" t="str">
            <v>R463</v>
          </cell>
          <cell r="D11" t="str">
            <v>Mohammad Alamgir Hossain</v>
          </cell>
          <cell r="E11">
            <v>1318</v>
          </cell>
          <cell r="F11" t="str">
            <v>Clemon Sports</v>
          </cell>
          <cell r="G11" t="str">
            <v>Deputy Manager</v>
          </cell>
        </row>
        <row r="12">
          <cell r="B12">
            <v>1324</v>
          </cell>
          <cell r="C12" t="str">
            <v>R546</v>
          </cell>
          <cell r="D12" t="str">
            <v>Imran Miah</v>
          </cell>
          <cell r="E12">
            <v>1324</v>
          </cell>
          <cell r="F12" t="str">
            <v>HR</v>
          </cell>
          <cell r="G12" t="str">
            <v>Manager</v>
          </cell>
        </row>
        <row r="13">
          <cell r="B13">
            <v>1341</v>
          </cell>
          <cell r="C13" t="str">
            <v>C045</v>
          </cell>
          <cell r="D13" t="str">
            <v>Md. Khaled Mashud Pilot</v>
          </cell>
          <cell r="E13">
            <v>1341</v>
          </cell>
          <cell r="F13" t="str">
            <v>Clemon Sports</v>
          </cell>
          <cell r="G13" t="str">
            <v>Chief Operating Officer</v>
          </cell>
        </row>
        <row r="14">
          <cell r="B14">
            <v>1344</v>
          </cell>
          <cell r="C14" t="str">
            <v>R059</v>
          </cell>
          <cell r="D14" t="str">
            <v>Monir Ahmed</v>
          </cell>
          <cell r="E14">
            <v>1344</v>
          </cell>
          <cell r="F14" t="str">
            <v>Admin</v>
          </cell>
          <cell r="G14" t="str">
            <v>Assistant General Manager</v>
          </cell>
        </row>
        <row r="15">
          <cell r="B15">
            <v>1347</v>
          </cell>
          <cell r="C15" t="str">
            <v>R086</v>
          </cell>
          <cell r="D15" t="str">
            <v>Md. Nazim Uddin Patwary</v>
          </cell>
          <cell r="E15">
            <v>1347</v>
          </cell>
          <cell r="F15" t="str">
            <v>Distribution</v>
          </cell>
          <cell r="G15" t="str">
            <v>Assistant General Manager</v>
          </cell>
        </row>
        <row r="16">
          <cell r="B16">
            <v>1357</v>
          </cell>
          <cell r="C16" t="str">
            <v>R105</v>
          </cell>
          <cell r="D16" t="str">
            <v>Gazi Sanaullah</v>
          </cell>
          <cell r="E16">
            <v>1357</v>
          </cell>
          <cell r="F16" t="str">
            <v>Sales Admin</v>
          </cell>
          <cell r="G16" t="str">
            <v>Manager</v>
          </cell>
        </row>
        <row r="17">
          <cell r="B17">
            <v>1364</v>
          </cell>
          <cell r="C17" t="str">
            <v>R392</v>
          </cell>
          <cell r="D17" t="str">
            <v>Shakil Md. Imtiaz</v>
          </cell>
          <cell r="E17">
            <v>1364</v>
          </cell>
          <cell r="F17" t="str">
            <v>Distribution</v>
          </cell>
          <cell r="G17" t="str">
            <v>Deputy Manager</v>
          </cell>
        </row>
        <row r="18">
          <cell r="B18">
            <v>1366</v>
          </cell>
          <cell r="C18" t="str">
            <v>R455</v>
          </cell>
          <cell r="D18" t="str">
            <v>Md. Abdullah-Al-Mamun</v>
          </cell>
          <cell r="E18">
            <v>1366</v>
          </cell>
          <cell r="F18" t="str">
            <v>Business Development &amp; Research</v>
          </cell>
          <cell r="G18" t="str">
            <v>Deputy Manager</v>
          </cell>
        </row>
        <row r="19">
          <cell r="B19">
            <v>1367</v>
          </cell>
          <cell r="C19" t="str">
            <v>R421</v>
          </cell>
          <cell r="D19" t="str">
            <v>Md. Kamruzzaman</v>
          </cell>
          <cell r="E19">
            <v>1367</v>
          </cell>
          <cell r="F19" t="str">
            <v>Event</v>
          </cell>
          <cell r="G19" t="str">
            <v>Deputy Manager</v>
          </cell>
        </row>
        <row r="20">
          <cell r="B20">
            <v>1368</v>
          </cell>
          <cell r="C20" t="str">
            <v>R220</v>
          </cell>
          <cell r="D20" t="str">
            <v>Md. Saiful Islam</v>
          </cell>
          <cell r="E20">
            <v>1368</v>
          </cell>
          <cell r="F20" t="str">
            <v xml:space="preserve">Cooler Management </v>
          </cell>
          <cell r="G20" t="str">
            <v>Deputy Manager</v>
          </cell>
        </row>
        <row r="21">
          <cell r="B21">
            <v>1382</v>
          </cell>
          <cell r="C21" t="str">
            <v>R106</v>
          </cell>
          <cell r="D21" t="str">
            <v>Md. Mizanur Rahman</v>
          </cell>
          <cell r="E21">
            <v>1382</v>
          </cell>
          <cell r="F21" t="str">
            <v>Outdoor Management</v>
          </cell>
          <cell r="G21" t="str">
            <v>Assistant General Manager</v>
          </cell>
        </row>
        <row r="22">
          <cell r="B22">
            <v>1386</v>
          </cell>
          <cell r="C22" t="str">
            <v>R583</v>
          </cell>
          <cell r="D22" t="str">
            <v>Md. Babul Hossain</v>
          </cell>
          <cell r="E22">
            <v>1386</v>
          </cell>
          <cell r="F22" t="str">
            <v>Creative</v>
          </cell>
          <cell r="G22" t="str">
            <v>Assistant Manager</v>
          </cell>
        </row>
        <row r="23">
          <cell r="B23">
            <v>1471</v>
          </cell>
          <cell r="C23" t="str">
            <v>14712251420</v>
          </cell>
          <cell r="D23" t="str">
            <v>Abu Saleh Mohammad Mustafizur Rahman</v>
          </cell>
          <cell r="E23">
            <v>1471</v>
          </cell>
          <cell r="F23" t="str">
            <v>Accounts And Finance</v>
          </cell>
          <cell r="G23" t="str">
            <v>Senior Executive</v>
          </cell>
        </row>
        <row r="24">
          <cell r="B24">
            <v>1474</v>
          </cell>
          <cell r="C24" t="str">
            <v>14742251403</v>
          </cell>
          <cell r="D24" t="str">
            <v>Ananda Kumar Bhowmik</v>
          </cell>
          <cell r="E24">
            <v>1474</v>
          </cell>
          <cell r="F24" t="str">
            <v>CSD-8</v>
          </cell>
          <cell r="G24" t="str">
            <v>Engineer</v>
          </cell>
        </row>
        <row r="25">
          <cell r="B25">
            <v>1475</v>
          </cell>
          <cell r="C25" t="str">
            <v>14752251387</v>
          </cell>
          <cell r="D25" t="str">
            <v>Anwarul Alam</v>
          </cell>
          <cell r="E25">
            <v>1475</v>
          </cell>
          <cell r="F25" t="str">
            <v>Mechanical</v>
          </cell>
          <cell r="G25" t="str">
            <v>Deputy General Manager</v>
          </cell>
        </row>
        <row r="26">
          <cell r="B26">
            <v>1477</v>
          </cell>
          <cell r="C26" t="str">
            <v>14772251402</v>
          </cell>
          <cell r="D26" t="str">
            <v>Arju Miah</v>
          </cell>
          <cell r="E26">
            <v>1477</v>
          </cell>
          <cell r="F26" t="str">
            <v>CSD</v>
          </cell>
          <cell r="G26" t="str">
            <v>Senior Executive</v>
          </cell>
        </row>
        <row r="27">
          <cell r="B27">
            <v>1486</v>
          </cell>
          <cell r="C27" t="str">
            <v>14862251373</v>
          </cell>
          <cell r="D27" t="str">
            <v>Elias Ahmed</v>
          </cell>
          <cell r="E27">
            <v>1486</v>
          </cell>
          <cell r="F27" t="str">
            <v>CSD</v>
          </cell>
          <cell r="G27" t="str">
            <v>Senior Executive</v>
          </cell>
        </row>
        <row r="28">
          <cell r="B28">
            <v>1488</v>
          </cell>
          <cell r="C28" t="str">
            <v>14882251373</v>
          </cell>
          <cell r="D28" t="str">
            <v xml:space="preserve">Habidul Islam </v>
          </cell>
          <cell r="E28">
            <v>1488</v>
          </cell>
          <cell r="F28" t="str">
            <v>New Project &amp; Development</v>
          </cell>
          <cell r="G28" t="str">
            <v>Assistant Manager</v>
          </cell>
        </row>
        <row r="29">
          <cell r="B29">
            <v>1492</v>
          </cell>
          <cell r="C29" t="str">
            <v>14922251373</v>
          </cell>
          <cell r="D29" t="str">
            <v>Joshim Uddin</v>
          </cell>
          <cell r="E29">
            <v>1492</v>
          </cell>
          <cell r="F29" t="str">
            <v>HR</v>
          </cell>
          <cell r="G29" t="str">
            <v>Junior Executive</v>
          </cell>
        </row>
        <row r="30">
          <cell r="B30">
            <v>1493</v>
          </cell>
          <cell r="C30" t="str">
            <v>14932251416</v>
          </cell>
          <cell r="D30" t="str">
            <v>K.M. Mizanur Rahman</v>
          </cell>
          <cell r="E30">
            <v>1493</v>
          </cell>
          <cell r="F30" t="str">
            <v>Store</v>
          </cell>
          <cell r="G30" t="str">
            <v>Senior Executive</v>
          </cell>
        </row>
        <row r="31">
          <cell r="B31">
            <v>1496</v>
          </cell>
          <cell r="C31" t="str">
            <v>14962251373</v>
          </cell>
          <cell r="D31" t="str">
            <v>Kaywshing Aung Marma</v>
          </cell>
          <cell r="E31">
            <v>1496</v>
          </cell>
          <cell r="F31" t="str">
            <v>Admin</v>
          </cell>
          <cell r="G31" t="str">
            <v>Junior Executive</v>
          </cell>
        </row>
        <row r="32">
          <cell r="B32">
            <v>1507</v>
          </cell>
          <cell r="C32" t="str">
            <v>15072251402</v>
          </cell>
          <cell r="D32" t="str">
            <v>Md. Aminul Islam Sarker</v>
          </cell>
          <cell r="E32">
            <v>1507</v>
          </cell>
          <cell r="F32" t="str">
            <v>Store</v>
          </cell>
          <cell r="G32" t="str">
            <v>Senior Executive</v>
          </cell>
        </row>
        <row r="33">
          <cell r="B33">
            <v>1510</v>
          </cell>
          <cell r="C33" t="str">
            <v>15102251392</v>
          </cell>
          <cell r="D33" t="str">
            <v xml:space="preserve">Md. Abdul Barek </v>
          </cell>
          <cell r="E33">
            <v>1510</v>
          </cell>
          <cell r="F33" t="str">
            <v>Fair Price Shop</v>
          </cell>
          <cell r="G33" t="str">
            <v>Junior Executive</v>
          </cell>
        </row>
        <row r="34">
          <cell r="B34">
            <v>1516</v>
          </cell>
          <cell r="C34" t="str">
            <v>15162251423</v>
          </cell>
          <cell r="D34" t="str">
            <v>Md. Abdul Motaleb</v>
          </cell>
          <cell r="E34">
            <v>1516</v>
          </cell>
          <cell r="F34" t="str">
            <v>Quality Control</v>
          </cell>
          <cell r="G34" t="str">
            <v>Deputy Manager</v>
          </cell>
        </row>
        <row r="35">
          <cell r="B35">
            <v>1519</v>
          </cell>
          <cell r="C35" t="str">
            <v>15192251402</v>
          </cell>
          <cell r="D35" t="str">
            <v>Md. Abdur Razzak</v>
          </cell>
          <cell r="E35">
            <v>1519</v>
          </cell>
          <cell r="F35" t="str">
            <v>Store</v>
          </cell>
          <cell r="G35" t="str">
            <v>Senior Executive</v>
          </cell>
        </row>
        <row r="36">
          <cell r="B36">
            <v>1525</v>
          </cell>
          <cell r="C36" t="str">
            <v>15252251423</v>
          </cell>
          <cell r="D36" t="str">
            <v>Md. Abu Taleb</v>
          </cell>
          <cell r="E36">
            <v>1525</v>
          </cell>
          <cell r="F36" t="str">
            <v>Quality Control</v>
          </cell>
          <cell r="G36" t="str">
            <v>Assistant Manager</v>
          </cell>
        </row>
        <row r="37">
          <cell r="B37">
            <v>1527</v>
          </cell>
          <cell r="C37" t="str">
            <v>15272251422</v>
          </cell>
          <cell r="D37" t="str">
            <v>Md. Abul Hasan Khan</v>
          </cell>
          <cell r="E37">
            <v>1527</v>
          </cell>
          <cell r="F37" t="str">
            <v>Distribution</v>
          </cell>
          <cell r="G37" t="str">
            <v>Junior Executive</v>
          </cell>
        </row>
        <row r="38">
          <cell r="B38">
            <v>1531</v>
          </cell>
          <cell r="C38" t="str">
            <v>15312251380</v>
          </cell>
          <cell r="D38" t="str">
            <v>Md. Alamin</v>
          </cell>
          <cell r="E38">
            <v>1531</v>
          </cell>
          <cell r="F38" t="str">
            <v>Distribution</v>
          </cell>
          <cell r="G38" t="str">
            <v>Senior Executive</v>
          </cell>
        </row>
        <row r="39">
          <cell r="B39">
            <v>1549</v>
          </cell>
          <cell r="C39" t="str">
            <v>15492251423</v>
          </cell>
          <cell r="D39" t="str">
            <v>Md. Ayub Ali</v>
          </cell>
          <cell r="E39">
            <v>1549</v>
          </cell>
          <cell r="F39" t="str">
            <v>CSD</v>
          </cell>
          <cell r="G39" t="str">
            <v>Junior Executive</v>
          </cell>
        </row>
        <row r="40">
          <cell r="B40">
            <v>1551</v>
          </cell>
          <cell r="C40" t="str">
            <v>15512251403</v>
          </cell>
          <cell r="D40" t="str">
            <v>Md. Baharul Islam</v>
          </cell>
          <cell r="E40">
            <v>1551</v>
          </cell>
          <cell r="F40" t="str">
            <v>Mechanical</v>
          </cell>
          <cell r="G40" t="str">
            <v>Assistant Manager</v>
          </cell>
        </row>
        <row r="41">
          <cell r="B41">
            <v>1553</v>
          </cell>
          <cell r="C41" t="str">
            <v>15532251402</v>
          </cell>
          <cell r="D41" t="str">
            <v xml:space="preserve">Md. Billal Miah </v>
          </cell>
          <cell r="E41">
            <v>1553</v>
          </cell>
          <cell r="F41" t="str">
            <v>Distribution</v>
          </cell>
          <cell r="G41" t="str">
            <v>Deputy Manager</v>
          </cell>
        </row>
        <row r="42">
          <cell r="B42">
            <v>1568</v>
          </cell>
          <cell r="C42" t="str">
            <v>15682251444</v>
          </cell>
          <cell r="D42" t="str">
            <v>Md. Humayun Ahmed</v>
          </cell>
          <cell r="E42">
            <v>1568</v>
          </cell>
          <cell r="F42" t="str">
            <v>Mechanical</v>
          </cell>
          <cell r="G42" t="str">
            <v>Deputy Manager</v>
          </cell>
        </row>
        <row r="43">
          <cell r="B43">
            <v>1573</v>
          </cell>
          <cell r="C43" t="str">
            <v>15732251421</v>
          </cell>
          <cell r="D43" t="str">
            <v>Md. Jamil Uddin</v>
          </cell>
          <cell r="E43">
            <v>1573</v>
          </cell>
          <cell r="F43" t="str">
            <v xml:space="preserve">Power </v>
          </cell>
          <cell r="G43" t="str">
            <v>Assistant Manager</v>
          </cell>
        </row>
        <row r="44">
          <cell r="B44">
            <v>1581</v>
          </cell>
          <cell r="C44" t="str">
            <v>15812251423</v>
          </cell>
          <cell r="D44" t="str">
            <v>Md. Khabir Uddin Howlader</v>
          </cell>
          <cell r="E44">
            <v>1581</v>
          </cell>
          <cell r="F44" t="str">
            <v>CSD</v>
          </cell>
          <cell r="G44" t="str">
            <v>Executive</v>
          </cell>
        </row>
        <row r="45">
          <cell r="B45">
            <v>1586</v>
          </cell>
          <cell r="C45" t="str">
            <v>15862251422</v>
          </cell>
          <cell r="D45" t="str">
            <v>Md. Liton Khan</v>
          </cell>
          <cell r="E45">
            <v>1586</v>
          </cell>
          <cell r="F45" t="str">
            <v>Distribution</v>
          </cell>
          <cell r="G45" t="str">
            <v>Executive</v>
          </cell>
        </row>
        <row r="46">
          <cell r="B46">
            <v>1590</v>
          </cell>
          <cell r="C46" t="str">
            <v>15902251416</v>
          </cell>
          <cell r="D46" t="str">
            <v>Md. Mahmudul Ahsan</v>
          </cell>
          <cell r="E46">
            <v>1590</v>
          </cell>
          <cell r="F46" t="str">
            <v>Drinking Water Plant</v>
          </cell>
          <cell r="G46" t="str">
            <v>Senior Executive</v>
          </cell>
        </row>
        <row r="47">
          <cell r="B47">
            <v>1593</v>
          </cell>
          <cell r="C47" t="str">
            <v>15932251380</v>
          </cell>
          <cell r="D47" t="str">
            <v>Md. Maruf Hassan</v>
          </cell>
          <cell r="E47">
            <v>1593</v>
          </cell>
          <cell r="F47" t="str">
            <v>Distribution</v>
          </cell>
          <cell r="G47" t="str">
            <v>Executive</v>
          </cell>
        </row>
        <row r="48">
          <cell r="B48">
            <v>1595</v>
          </cell>
          <cell r="C48" t="str">
            <v>15952251422</v>
          </cell>
          <cell r="D48" t="str">
            <v>Md. Masud Rana</v>
          </cell>
          <cell r="E48">
            <v>1595</v>
          </cell>
          <cell r="F48" t="str">
            <v>Distribution</v>
          </cell>
          <cell r="G48" t="str">
            <v>Executive</v>
          </cell>
        </row>
        <row r="49">
          <cell r="B49">
            <v>1602</v>
          </cell>
          <cell r="C49" t="str">
            <v>16022251387</v>
          </cell>
          <cell r="D49" t="str">
            <v xml:space="preserve">Md. Mohin Uddin </v>
          </cell>
          <cell r="E49">
            <v>1602</v>
          </cell>
          <cell r="F49" t="str">
            <v>CSD-7</v>
          </cell>
          <cell r="G49" t="str">
            <v>Assistant Engineer</v>
          </cell>
        </row>
        <row r="50">
          <cell r="B50">
            <v>1607</v>
          </cell>
          <cell r="C50" t="str">
            <v>16072251373</v>
          </cell>
          <cell r="D50" t="str">
            <v>Md. Monirul Islam</v>
          </cell>
          <cell r="E50">
            <v>1607</v>
          </cell>
          <cell r="F50" t="str">
            <v>Store</v>
          </cell>
          <cell r="G50" t="str">
            <v>Assistant Manager</v>
          </cell>
        </row>
        <row r="51">
          <cell r="B51">
            <v>1617</v>
          </cell>
          <cell r="C51" t="str">
            <v>16172251422</v>
          </cell>
          <cell r="D51" t="str">
            <v xml:space="preserve">Md. Muslim Uddin </v>
          </cell>
          <cell r="E51">
            <v>1617</v>
          </cell>
          <cell r="F51" t="str">
            <v>Distribution</v>
          </cell>
          <cell r="G51" t="str">
            <v>Executive</v>
          </cell>
        </row>
        <row r="52">
          <cell r="B52">
            <v>1629</v>
          </cell>
          <cell r="C52" t="str">
            <v>16292251370</v>
          </cell>
          <cell r="D52" t="str">
            <v>Md. Rafiqul Islam</v>
          </cell>
          <cell r="E52">
            <v>1629</v>
          </cell>
          <cell r="F52" t="str">
            <v>Vat Department</v>
          </cell>
          <cell r="G52" t="str">
            <v>Manager</v>
          </cell>
        </row>
        <row r="53">
          <cell r="B53">
            <v>1640</v>
          </cell>
          <cell r="C53" t="str">
            <v>16402251421</v>
          </cell>
          <cell r="D53" t="str">
            <v>Md. Rabiul Islam</v>
          </cell>
          <cell r="E53">
            <v>1640</v>
          </cell>
          <cell r="F53" t="str">
            <v>Mechanical</v>
          </cell>
          <cell r="G53" t="str">
            <v>Senior Engineer</v>
          </cell>
        </row>
        <row r="54">
          <cell r="B54">
            <v>1645</v>
          </cell>
          <cell r="C54" t="str">
            <v>16452251402</v>
          </cell>
          <cell r="D54" t="str">
            <v>Md. Sahidur Rahman</v>
          </cell>
          <cell r="E54">
            <v>1645</v>
          </cell>
          <cell r="F54" t="str">
            <v>MIS</v>
          </cell>
          <cell r="G54" t="str">
            <v>Deputy Manager</v>
          </cell>
        </row>
        <row r="55">
          <cell r="B55">
            <v>1651</v>
          </cell>
          <cell r="C55" t="str">
            <v>16512251444</v>
          </cell>
          <cell r="D55" t="str">
            <v xml:space="preserve">Md. Salim Hossain </v>
          </cell>
          <cell r="E55">
            <v>1651</v>
          </cell>
          <cell r="F55" t="str">
            <v>Mechanical</v>
          </cell>
          <cell r="G55" t="str">
            <v>Senior Engineer</v>
          </cell>
        </row>
        <row r="56">
          <cell r="B56">
            <v>1663</v>
          </cell>
          <cell r="C56" t="str">
            <v>16632251422</v>
          </cell>
          <cell r="D56" t="str">
            <v>Md. Sharif Uddin Sheikh</v>
          </cell>
          <cell r="E56">
            <v>1663</v>
          </cell>
          <cell r="F56" t="str">
            <v>Distribution</v>
          </cell>
          <cell r="G56" t="str">
            <v>Junior Executive</v>
          </cell>
        </row>
        <row r="57">
          <cell r="B57">
            <v>1673</v>
          </cell>
          <cell r="C57" t="str">
            <v>16732251421</v>
          </cell>
          <cell r="D57" t="str">
            <v>Md. Sohel Rana</v>
          </cell>
          <cell r="E57">
            <v>1673</v>
          </cell>
          <cell r="F57" t="str">
            <v>CSD</v>
          </cell>
          <cell r="G57" t="str">
            <v>Senior Engineer</v>
          </cell>
        </row>
        <row r="58">
          <cell r="B58">
            <v>1675</v>
          </cell>
          <cell r="C58" t="str">
            <v>16752251421</v>
          </cell>
          <cell r="D58" t="str">
            <v>Md. Suruzzaman</v>
          </cell>
          <cell r="E58">
            <v>1675</v>
          </cell>
          <cell r="F58" t="str">
            <v>Mechanical</v>
          </cell>
          <cell r="G58" t="str">
            <v>Assistant Manager</v>
          </cell>
        </row>
        <row r="59">
          <cell r="B59">
            <v>1679</v>
          </cell>
          <cell r="C59" t="str">
            <v>16792251423</v>
          </cell>
          <cell r="D59" t="str">
            <v>Md. Tushar Iqbal</v>
          </cell>
          <cell r="E59">
            <v>1679</v>
          </cell>
          <cell r="F59" t="str">
            <v>CSD</v>
          </cell>
          <cell r="G59" t="str">
            <v>Assistant Officer</v>
          </cell>
        </row>
        <row r="60">
          <cell r="B60">
            <v>1686</v>
          </cell>
          <cell r="C60" t="str">
            <v>16862251421</v>
          </cell>
          <cell r="D60" t="str">
            <v>Md. Abdul Alim</v>
          </cell>
          <cell r="E60">
            <v>1686</v>
          </cell>
          <cell r="F60" t="str">
            <v>Aseptic Juice</v>
          </cell>
          <cell r="G60" t="str">
            <v>Senior Engineer</v>
          </cell>
        </row>
        <row r="61">
          <cell r="B61">
            <v>1702</v>
          </cell>
          <cell r="C61" t="str">
            <v>17022251370</v>
          </cell>
          <cell r="D61" t="str">
            <v>Md. Aminul Islam</v>
          </cell>
          <cell r="E61">
            <v>1702</v>
          </cell>
          <cell r="F61" t="str">
            <v>Admin</v>
          </cell>
          <cell r="G61" t="str">
            <v>Executive</v>
          </cell>
        </row>
        <row r="62">
          <cell r="B62">
            <v>1703</v>
          </cell>
          <cell r="C62" t="str">
            <v>17032251402</v>
          </cell>
          <cell r="D62" t="str">
            <v>Md. Anisur Rahman</v>
          </cell>
          <cell r="E62">
            <v>1703</v>
          </cell>
          <cell r="F62" t="str">
            <v>Aseptic Juice</v>
          </cell>
          <cell r="G62" t="str">
            <v>Deputy Manager</v>
          </cell>
        </row>
        <row r="63">
          <cell r="B63">
            <v>1713</v>
          </cell>
          <cell r="C63" t="str">
            <v>17132251420</v>
          </cell>
          <cell r="D63" t="str">
            <v>Md. Delwar Hossain</v>
          </cell>
          <cell r="E63">
            <v>1713</v>
          </cell>
          <cell r="F63" t="str">
            <v>Store</v>
          </cell>
          <cell r="G63" t="str">
            <v>Senior Executive</v>
          </cell>
        </row>
        <row r="64">
          <cell r="B64">
            <v>1723</v>
          </cell>
          <cell r="C64" t="str">
            <v>17232251416</v>
          </cell>
          <cell r="D64" t="str">
            <v>Md. Idris Ali</v>
          </cell>
          <cell r="E64">
            <v>1723</v>
          </cell>
          <cell r="F64" t="str">
            <v>CSD</v>
          </cell>
          <cell r="G64" t="str">
            <v>Assistant Manager</v>
          </cell>
        </row>
        <row r="65">
          <cell r="B65">
            <v>1725</v>
          </cell>
          <cell r="C65" t="str">
            <v>17252251416</v>
          </cell>
          <cell r="D65" t="str">
            <v>Md. Imrul Hasan</v>
          </cell>
          <cell r="E65">
            <v>1725</v>
          </cell>
          <cell r="F65" t="str">
            <v>CSD</v>
          </cell>
          <cell r="G65" t="str">
            <v>Deputy Manager</v>
          </cell>
        </row>
        <row r="66">
          <cell r="B66">
            <v>1728</v>
          </cell>
          <cell r="C66" t="str">
            <v>17282251421</v>
          </cell>
          <cell r="D66" t="str">
            <v>Md. Jahurul Haque</v>
          </cell>
          <cell r="E66">
            <v>1728</v>
          </cell>
          <cell r="F66" t="str">
            <v>Aseptic Juice</v>
          </cell>
          <cell r="G66" t="str">
            <v>Engineer</v>
          </cell>
        </row>
        <row r="67">
          <cell r="B67">
            <v>1731</v>
          </cell>
          <cell r="C67" t="str">
            <v>17312251413</v>
          </cell>
          <cell r="D67" t="str">
            <v>Mohammad Kamrul Islam</v>
          </cell>
          <cell r="E67">
            <v>1731</v>
          </cell>
          <cell r="F67" t="str">
            <v>Electrical</v>
          </cell>
          <cell r="G67" t="str">
            <v>Assistant General Manager</v>
          </cell>
        </row>
        <row r="68">
          <cell r="B68">
            <v>1732</v>
          </cell>
          <cell r="C68" t="str">
            <v>17322251416</v>
          </cell>
          <cell r="D68" t="str">
            <v>Md. Kamruzzaman</v>
          </cell>
          <cell r="E68">
            <v>1732</v>
          </cell>
          <cell r="F68" t="str">
            <v>Drinking Water Plant</v>
          </cell>
          <cell r="G68" t="str">
            <v>Deputy Manager</v>
          </cell>
        </row>
        <row r="69">
          <cell r="B69">
            <v>1737</v>
          </cell>
          <cell r="C69" t="str">
            <v>17372251423</v>
          </cell>
          <cell r="D69" t="str">
            <v>Md. Mahfujur Rahman</v>
          </cell>
          <cell r="E69">
            <v>1737</v>
          </cell>
          <cell r="F69" t="str">
            <v>CSD</v>
          </cell>
          <cell r="G69" t="str">
            <v>Junior Executive</v>
          </cell>
        </row>
        <row r="70">
          <cell r="B70">
            <v>1746</v>
          </cell>
          <cell r="C70" t="str">
            <v>17462251421</v>
          </cell>
          <cell r="D70" t="str">
            <v>Md. Nazmul Huda</v>
          </cell>
          <cell r="E70">
            <v>1746</v>
          </cell>
          <cell r="F70" t="str">
            <v>CSD</v>
          </cell>
          <cell r="G70" t="str">
            <v>Engineer</v>
          </cell>
        </row>
        <row r="71">
          <cell r="B71">
            <v>1757</v>
          </cell>
          <cell r="C71" t="str">
            <v>17572251402</v>
          </cell>
          <cell r="D71" t="str">
            <v>Md. Rasel</v>
          </cell>
          <cell r="E71">
            <v>1757</v>
          </cell>
          <cell r="F71" t="str">
            <v>Aseptic Juice</v>
          </cell>
          <cell r="G71" t="str">
            <v>Assistant Manager</v>
          </cell>
        </row>
        <row r="72">
          <cell r="B72">
            <v>1759</v>
          </cell>
          <cell r="C72" t="str">
            <v>17592251403</v>
          </cell>
          <cell r="D72" t="str">
            <v>Md. Razaul Karim</v>
          </cell>
          <cell r="E72">
            <v>1759</v>
          </cell>
          <cell r="F72" t="str">
            <v>Printing</v>
          </cell>
          <cell r="G72" t="str">
            <v>Executive</v>
          </cell>
        </row>
        <row r="73">
          <cell r="B73">
            <v>1766</v>
          </cell>
          <cell r="C73" t="str">
            <v>17662251421</v>
          </cell>
          <cell r="D73" t="str">
            <v>Md. Salim Reza</v>
          </cell>
          <cell r="E73">
            <v>1766</v>
          </cell>
          <cell r="F73" t="str">
            <v>Aseptic Juice</v>
          </cell>
          <cell r="G73" t="str">
            <v>Engineer</v>
          </cell>
        </row>
        <row r="74">
          <cell r="B74">
            <v>1769</v>
          </cell>
          <cell r="C74" t="str">
            <v>17692251402</v>
          </cell>
          <cell r="D74" t="str">
            <v>Md. Sekander Ali</v>
          </cell>
          <cell r="E74">
            <v>1769</v>
          </cell>
          <cell r="F74" t="str">
            <v>CSD</v>
          </cell>
          <cell r="G74" t="str">
            <v>Deputy Manager</v>
          </cell>
        </row>
        <row r="75">
          <cell r="B75">
            <v>1772</v>
          </cell>
          <cell r="C75" t="str">
            <v>17722251420</v>
          </cell>
          <cell r="D75" t="str">
            <v>Md. Shariful Islam</v>
          </cell>
          <cell r="E75">
            <v>1772</v>
          </cell>
          <cell r="F75" t="str">
            <v>Store</v>
          </cell>
          <cell r="G75" t="str">
            <v>Senior Executive</v>
          </cell>
        </row>
        <row r="76">
          <cell r="B76">
            <v>1778</v>
          </cell>
          <cell r="C76" t="str">
            <v>17782251444</v>
          </cell>
          <cell r="D76" t="str">
            <v>Md. Sirajul Islam</v>
          </cell>
          <cell r="E76">
            <v>1778</v>
          </cell>
          <cell r="F76" t="str">
            <v>Recycling</v>
          </cell>
          <cell r="G76" t="str">
            <v>Executive</v>
          </cell>
        </row>
        <row r="77">
          <cell r="B77">
            <v>1782</v>
          </cell>
          <cell r="C77" t="str">
            <v>17822251421</v>
          </cell>
          <cell r="D77" t="str">
            <v>Md. Sumon Mia</v>
          </cell>
          <cell r="E77">
            <v>1782</v>
          </cell>
          <cell r="F77" t="str">
            <v>Electrical</v>
          </cell>
          <cell r="G77" t="str">
            <v>Manager</v>
          </cell>
        </row>
        <row r="78">
          <cell r="B78">
            <v>1787</v>
          </cell>
          <cell r="C78" t="str">
            <v>17872251387</v>
          </cell>
          <cell r="D78" t="str">
            <v xml:space="preserve">Md. Wadud Khan </v>
          </cell>
          <cell r="E78">
            <v>1787</v>
          </cell>
          <cell r="F78" t="str">
            <v>Electrical</v>
          </cell>
          <cell r="G78" t="str">
            <v>Senior Manager</v>
          </cell>
        </row>
        <row r="79">
          <cell r="B79">
            <v>1788</v>
          </cell>
          <cell r="C79" t="str">
            <v>17882251416</v>
          </cell>
          <cell r="D79" t="str">
            <v>Md. Yeasin Ali</v>
          </cell>
          <cell r="E79">
            <v>1788</v>
          </cell>
          <cell r="F79" t="str">
            <v>Distribution</v>
          </cell>
          <cell r="G79" t="str">
            <v>Assistant General Manager</v>
          </cell>
        </row>
        <row r="80">
          <cell r="B80">
            <v>1789</v>
          </cell>
          <cell r="C80" t="str">
            <v>17892251393</v>
          </cell>
          <cell r="D80" t="str">
            <v>Md. Yasin Arafat</v>
          </cell>
          <cell r="E80">
            <v>1789</v>
          </cell>
          <cell r="F80" t="str">
            <v>Vat Department</v>
          </cell>
          <cell r="G80" t="str">
            <v>Senior Executive</v>
          </cell>
        </row>
        <row r="81">
          <cell r="B81">
            <v>1790</v>
          </cell>
          <cell r="C81" t="str">
            <v>17902251403</v>
          </cell>
          <cell r="D81" t="str">
            <v>Md. Zakaria</v>
          </cell>
          <cell r="E81">
            <v>1790</v>
          </cell>
          <cell r="F81" t="str">
            <v>CSD</v>
          </cell>
          <cell r="G81" t="str">
            <v>Executive</v>
          </cell>
        </row>
        <row r="82">
          <cell r="B82">
            <v>1795</v>
          </cell>
          <cell r="C82" t="str">
            <v>17952251402</v>
          </cell>
          <cell r="D82" t="str">
            <v>Mir Md. Kawser Islam Mithu</v>
          </cell>
          <cell r="E82">
            <v>1795</v>
          </cell>
          <cell r="F82" t="str">
            <v>Sugar</v>
          </cell>
          <cell r="G82" t="str">
            <v>Manager</v>
          </cell>
        </row>
        <row r="83">
          <cell r="B83">
            <v>1798</v>
          </cell>
          <cell r="C83" t="str">
            <v>17982251423</v>
          </cell>
          <cell r="D83" t="str">
            <v>Mofiz Uddin</v>
          </cell>
          <cell r="E83">
            <v>1798</v>
          </cell>
          <cell r="F83" t="str">
            <v>CSD</v>
          </cell>
          <cell r="G83" t="str">
            <v>Junior Executive</v>
          </cell>
        </row>
        <row r="84">
          <cell r="B84">
            <v>1799</v>
          </cell>
          <cell r="C84" t="str">
            <v>17992251423</v>
          </cell>
          <cell r="D84" t="str">
            <v>Mohammad Ali</v>
          </cell>
          <cell r="E84">
            <v>1799</v>
          </cell>
          <cell r="F84" t="str">
            <v>Functional Food and Beverage RnD</v>
          </cell>
          <cell r="G84" t="str">
            <v>Manager</v>
          </cell>
        </row>
        <row r="85">
          <cell r="B85">
            <v>1800</v>
          </cell>
          <cell r="C85" t="str">
            <v>18002251421</v>
          </cell>
          <cell r="D85" t="str">
            <v>Mohammad Humayun Kabir</v>
          </cell>
          <cell r="E85">
            <v>1800</v>
          </cell>
          <cell r="F85" t="str">
            <v>CSD</v>
          </cell>
          <cell r="G85" t="str">
            <v>Senior Engineer</v>
          </cell>
        </row>
        <row r="86">
          <cell r="B86">
            <v>1802</v>
          </cell>
          <cell r="C86" t="str">
            <v>18022251402</v>
          </cell>
          <cell r="D86" t="str">
            <v>Mohammad Monjurul Haque</v>
          </cell>
          <cell r="E86">
            <v>1802</v>
          </cell>
          <cell r="F86" t="str">
            <v>Drinking Water Plant</v>
          </cell>
          <cell r="G86" t="str">
            <v>Senior Executive</v>
          </cell>
        </row>
        <row r="87">
          <cell r="B87">
            <v>1803</v>
          </cell>
          <cell r="C87" t="str">
            <v>18032251373</v>
          </cell>
          <cell r="D87" t="str">
            <v>Mohammad Razaul Karim</v>
          </cell>
          <cell r="E87">
            <v>1803</v>
          </cell>
          <cell r="F87" t="str">
            <v>Store</v>
          </cell>
          <cell r="G87" t="str">
            <v>Senior Executive</v>
          </cell>
        </row>
        <row r="88">
          <cell r="B88">
            <v>1806</v>
          </cell>
          <cell r="C88" t="str">
            <v>18062251416</v>
          </cell>
          <cell r="D88" t="str">
            <v>Mrinal Kanti Roy</v>
          </cell>
          <cell r="E88">
            <v>1806</v>
          </cell>
          <cell r="F88" t="str">
            <v>Store</v>
          </cell>
          <cell r="G88" t="str">
            <v>Manager</v>
          </cell>
        </row>
        <row r="89">
          <cell r="B89">
            <v>1828</v>
          </cell>
          <cell r="C89" t="str">
            <v>18282251423</v>
          </cell>
          <cell r="D89" t="str">
            <v>Sujon Barua</v>
          </cell>
          <cell r="E89">
            <v>1828</v>
          </cell>
          <cell r="F89" t="str">
            <v>Drinking Water Plant</v>
          </cell>
          <cell r="G89" t="str">
            <v>Junior Executive</v>
          </cell>
        </row>
        <row r="90">
          <cell r="B90">
            <v>1829</v>
          </cell>
          <cell r="C90" t="str">
            <v>18292251421</v>
          </cell>
          <cell r="D90" t="str">
            <v>Sujon Munshi</v>
          </cell>
          <cell r="E90">
            <v>1829</v>
          </cell>
          <cell r="F90" t="str">
            <v>CSD-8</v>
          </cell>
          <cell r="G90" t="str">
            <v>Engineer</v>
          </cell>
        </row>
        <row r="91">
          <cell r="B91">
            <v>1833</v>
          </cell>
          <cell r="C91" t="str">
            <v>18332251420</v>
          </cell>
          <cell r="D91" t="str">
            <v>Zillur Rahman</v>
          </cell>
          <cell r="E91">
            <v>1833</v>
          </cell>
          <cell r="F91" t="str">
            <v>Distribution</v>
          </cell>
          <cell r="G91" t="str">
            <v>Executive</v>
          </cell>
        </row>
        <row r="92">
          <cell r="B92">
            <v>1840</v>
          </cell>
          <cell r="C92" t="str">
            <v>18402251423</v>
          </cell>
          <cell r="D92" t="str">
            <v>Khandaker Imran Hossain</v>
          </cell>
          <cell r="E92">
            <v>1840</v>
          </cell>
          <cell r="F92" t="str">
            <v>Quality Control</v>
          </cell>
          <cell r="G92" t="str">
            <v>Assistant Manager</v>
          </cell>
        </row>
        <row r="93">
          <cell r="B93">
            <v>1842</v>
          </cell>
          <cell r="C93" t="str">
            <v>18422251423</v>
          </cell>
          <cell r="D93" t="str">
            <v>Md. Abdus Selim Hossain</v>
          </cell>
          <cell r="E93">
            <v>1842</v>
          </cell>
          <cell r="F93" t="str">
            <v>CSD</v>
          </cell>
          <cell r="G93" t="str">
            <v>Assistant Manager</v>
          </cell>
        </row>
        <row r="94">
          <cell r="B94">
            <v>1855</v>
          </cell>
          <cell r="C94" t="str">
            <v>18552251423</v>
          </cell>
          <cell r="D94" t="str">
            <v>Md. Moshiur Rahman</v>
          </cell>
          <cell r="E94">
            <v>1855</v>
          </cell>
          <cell r="F94" t="str">
            <v>CSD-7</v>
          </cell>
          <cell r="G94" t="str">
            <v>Assistant Manager</v>
          </cell>
        </row>
        <row r="95">
          <cell r="B95">
            <v>1860</v>
          </cell>
          <cell r="C95" t="str">
            <v>18602251422</v>
          </cell>
          <cell r="D95" t="str">
            <v>Md. Abu Musa Kaderi</v>
          </cell>
          <cell r="E95">
            <v>1860</v>
          </cell>
          <cell r="F95" t="str">
            <v>WTP</v>
          </cell>
          <cell r="G95" t="str">
            <v>Executive</v>
          </cell>
        </row>
        <row r="96">
          <cell r="B96">
            <v>1875</v>
          </cell>
          <cell r="C96" t="str">
            <v>18752251421</v>
          </cell>
          <cell r="D96" t="str">
            <v>Ali Hossain Bhuiyan</v>
          </cell>
          <cell r="E96">
            <v>1875</v>
          </cell>
          <cell r="F96" t="str">
            <v>Recycling</v>
          </cell>
          <cell r="G96" t="str">
            <v>Senior Engineer</v>
          </cell>
        </row>
        <row r="97">
          <cell r="B97">
            <v>1885</v>
          </cell>
          <cell r="C97" t="str">
            <v>18852251422</v>
          </cell>
          <cell r="D97" t="str">
            <v>Md. Anisuzzaman</v>
          </cell>
          <cell r="E97">
            <v>1885</v>
          </cell>
          <cell r="F97" t="str">
            <v>Distribution</v>
          </cell>
          <cell r="G97" t="str">
            <v>Junior Executive</v>
          </cell>
        </row>
        <row r="98">
          <cell r="B98">
            <v>1896</v>
          </cell>
          <cell r="C98" t="str">
            <v>18962251403</v>
          </cell>
          <cell r="D98" t="str">
            <v>Md. Mizanur Rahman</v>
          </cell>
          <cell r="E98">
            <v>1896</v>
          </cell>
          <cell r="F98" t="str">
            <v>Mechanical</v>
          </cell>
          <cell r="G98" t="str">
            <v>Assistant Engineer</v>
          </cell>
        </row>
        <row r="99">
          <cell r="B99">
            <v>1907</v>
          </cell>
          <cell r="C99" t="str">
            <v>19072251423</v>
          </cell>
          <cell r="D99" t="str">
            <v>Md. Samim Reza Mithu</v>
          </cell>
          <cell r="E99">
            <v>1907</v>
          </cell>
          <cell r="F99" t="str">
            <v>CSD</v>
          </cell>
          <cell r="G99" t="str">
            <v>Junior Executive</v>
          </cell>
        </row>
        <row r="100">
          <cell r="B100">
            <v>1909</v>
          </cell>
          <cell r="C100" t="str">
            <v>19092251423</v>
          </cell>
          <cell r="D100" t="str">
            <v>Md. Sarwar Hossain</v>
          </cell>
          <cell r="E100">
            <v>1909</v>
          </cell>
          <cell r="F100" t="str">
            <v>Snacks</v>
          </cell>
          <cell r="G100" t="str">
            <v>Deputy Manager</v>
          </cell>
        </row>
        <row r="101">
          <cell r="B101">
            <v>1919</v>
          </cell>
          <cell r="C101" t="str">
            <v>19192251372</v>
          </cell>
          <cell r="D101" t="str">
            <v>Md. Toyeb Ali</v>
          </cell>
          <cell r="E101">
            <v>1919</v>
          </cell>
          <cell r="F101" t="str">
            <v>CSD</v>
          </cell>
          <cell r="G101" t="str">
            <v>Deputy General Manager</v>
          </cell>
        </row>
        <row r="102">
          <cell r="B102">
            <v>1920</v>
          </cell>
          <cell r="C102" t="str">
            <v>19202251444</v>
          </cell>
          <cell r="D102" t="str">
            <v>Muhammod Al Helal</v>
          </cell>
          <cell r="E102">
            <v>1920</v>
          </cell>
          <cell r="F102" t="str">
            <v>Mechanical</v>
          </cell>
          <cell r="G102" t="str">
            <v>Senior Manager</v>
          </cell>
        </row>
        <row r="103">
          <cell r="B103">
            <v>1921</v>
          </cell>
          <cell r="C103" t="str">
            <v>19212251370</v>
          </cell>
          <cell r="D103" t="str">
            <v>Nabokumar Sarkar</v>
          </cell>
          <cell r="E103">
            <v>1921</v>
          </cell>
          <cell r="F103" t="str">
            <v>Distribution</v>
          </cell>
          <cell r="G103" t="str">
            <v>Senior Executive</v>
          </cell>
        </row>
        <row r="104">
          <cell r="B104">
            <v>1927</v>
          </cell>
          <cell r="C104" t="str">
            <v>19272251387</v>
          </cell>
          <cell r="D104" t="str">
            <v>Tusher Kanty Das</v>
          </cell>
          <cell r="E104">
            <v>1927</v>
          </cell>
          <cell r="F104" t="str">
            <v>Recycling</v>
          </cell>
          <cell r="G104" t="str">
            <v>Deputy Manager</v>
          </cell>
        </row>
        <row r="105">
          <cell r="B105">
            <v>1965</v>
          </cell>
          <cell r="C105" t="str">
            <v>19652251423</v>
          </cell>
          <cell r="D105" t="str">
            <v>Bashir Ahmed</v>
          </cell>
          <cell r="E105">
            <v>1965</v>
          </cell>
          <cell r="F105" t="str">
            <v>Quality Control</v>
          </cell>
          <cell r="G105" t="str">
            <v>Deputy Manager</v>
          </cell>
        </row>
        <row r="106">
          <cell r="B106">
            <v>2029</v>
          </cell>
          <cell r="C106" t="str">
            <v>20292251422</v>
          </cell>
          <cell r="D106" t="str">
            <v>Prodip Kumar Milon</v>
          </cell>
          <cell r="E106">
            <v>2029</v>
          </cell>
          <cell r="F106" t="str">
            <v>Distribution</v>
          </cell>
          <cell r="G106" t="str">
            <v>Executive</v>
          </cell>
        </row>
        <row r="107">
          <cell r="B107">
            <v>7938</v>
          </cell>
          <cell r="C107" t="str">
            <v>ACRL-938</v>
          </cell>
          <cell r="D107" t="str">
            <v>Md. Golam Mostofa</v>
          </cell>
          <cell r="E107">
            <v>7938</v>
          </cell>
          <cell r="F107" t="str">
            <v>Accounts And Finance</v>
          </cell>
          <cell r="G107" t="str">
            <v>Executive</v>
          </cell>
        </row>
        <row r="108">
          <cell r="B108">
            <v>33081</v>
          </cell>
          <cell r="C108" t="str">
            <v>R604</v>
          </cell>
          <cell r="D108" t="str">
            <v>S.M Zahid Hasan</v>
          </cell>
          <cell r="E108">
            <v>33081</v>
          </cell>
          <cell r="F108" t="str">
            <v>Internal Audit &amp; Compliance</v>
          </cell>
          <cell r="G108" t="str">
            <v>Deputy Manager</v>
          </cell>
        </row>
        <row r="109">
          <cell r="B109">
            <v>33112</v>
          </cell>
          <cell r="C109" t="str">
            <v>331122251373</v>
          </cell>
          <cell r="D109" t="str">
            <v>Md. Jewel Hossain</v>
          </cell>
          <cell r="E109">
            <v>33112</v>
          </cell>
          <cell r="F109" t="str">
            <v>Brand</v>
          </cell>
          <cell r="G109" t="str">
            <v>Senior Executive</v>
          </cell>
        </row>
        <row r="110">
          <cell r="B110">
            <v>33121</v>
          </cell>
          <cell r="C110" t="str">
            <v>331212251403</v>
          </cell>
          <cell r="D110" t="str">
            <v>Md. Anisur Rahman</v>
          </cell>
          <cell r="E110">
            <v>33121</v>
          </cell>
          <cell r="F110" t="str">
            <v xml:space="preserve">Power </v>
          </cell>
          <cell r="G110" t="str">
            <v>Executive</v>
          </cell>
        </row>
        <row r="111">
          <cell r="B111">
            <v>33146</v>
          </cell>
          <cell r="C111" t="str">
            <v>331462251422</v>
          </cell>
          <cell r="D111" t="str">
            <v>Md. Mushiur Rahman</v>
          </cell>
          <cell r="E111">
            <v>33146</v>
          </cell>
          <cell r="F111" t="str">
            <v>Aseptic Juice</v>
          </cell>
          <cell r="G111" t="str">
            <v>Senior Executive</v>
          </cell>
        </row>
        <row r="112">
          <cell r="B112">
            <v>33148</v>
          </cell>
          <cell r="C112" t="str">
            <v>331482251421</v>
          </cell>
          <cell r="D112" t="str">
            <v>Md. Enamul Haque</v>
          </cell>
          <cell r="E112">
            <v>33148</v>
          </cell>
          <cell r="F112" t="str">
            <v>Mechanical</v>
          </cell>
          <cell r="G112" t="str">
            <v>Assistant Manager</v>
          </cell>
        </row>
        <row r="113">
          <cell r="B113">
            <v>33166</v>
          </cell>
          <cell r="C113" t="str">
            <v>331662251422</v>
          </cell>
          <cell r="D113" t="str">
            <v>Md. Anowar Hosen</v>
          </cell>
          <cell r="E113">
            <v>33166</v>
          </cell>
          <cell r="F113" t="str">
            <v>Recycling</v>
          </cell>
          <cell r="G113" t="str">
            <v>Senior Executive</v>
          </cell>
        </row>
        <row r="114">
          <cell r="B114">
            <v>33167</v>
          </cell>
          <cell r="C114" t="str">
            <v>331672251382</v>
          </cell>
          <cell r="D114" t="str">
            <v>Md. Shahinur Rahman</v>
          </cell>
          <cell r="E114">
            <v>33167</v>
          </cell>
          <cell r="F114" t="str">
            <v>Recycling</v>
          </cell>
          <cell r="G114" t="str">
            <v>Executive</v>
          </cell>
        </row>
        <row r="115">
          <cell r="B115">
            <v>33169</v>
          </cell>
          <cell r="C115" t="str">
            <v>331692251422</v>
          </cell>
          <cell r="D115" t="str">
            <v>Mrs. Lovely Begum</v>
          </cell>
          <cell r="E115">
            <v>33169</v>
          </cell>
          <cell r="F115" t="str">
            <v>Store</v>
          </cell>
          <cell r="G115" t="str">
            <v>Executive</v>
          </cell>
        </row>
        <row r="116">
          <cell r="B116">
            <v>33170</v>
          </cell>
          <cell r="C116" t="str">
            <v>331702251420</v>
          </cell>
          <cell r="D116" t="str">
            <v>Md. Abu Taleb</v>
          </cell>
          <cell r="E116">
            <v>33170</v>
          </cell>
          <cell r="F116" t="str">
            <v>Store</v>
          </cell>
          <cell r="G116" t="str">
            <v>Deputy Manager</v>
          </cell>
        </row>
        <row r="117">
          <cell r="B117">
            <v>33187</v>
          </cell>
          <cell r="C117" t="str">
            <v>331872251373</v>
          </cell>
          <cell r="D117" t="str">
            <v>Md. Abdur Rashid</v>
          </cell>
          <cell r="E117">
            <v>33187</v>
          </cell>
          <cell r="F117" t="str">
            <v>Store</v>
          </cell>
          <cell r="G117" t="str">
            <v>Assistant Manager</v>
          </cell>
        </row>
        <row r="118">
          <cell r="B118">
            <v>42815</v>
          </cell>
          <cell r="C118" t="str">
            <v>R740</v>
          </cell>
          <cell r="D118" t="str">
            <v>Mahabubur Rahman</v>
          </cell>
          <cell r="E118">
            <v>42815</v>
          </cell>
          <cell r="F118" t="str">
            <v>Accounts And Finance</v>
          </cell>
          <cell r="G118" t="str">
            <v>Deputy Manager</v>
          </cell>
        </row>
        <row r="119">
          <cell r="B119">
            <v>43086</v>
          </cell>
          <cell r="C119" t="str">
            <v>R727</v>
          </cell>
          <cell r="D119" t="str">
            <v>Md. Rafiqul Islam</v>
          </cell>
          <cell r="E119">
            <v>43086</v>
          </cell>
          <cell r="F119" t="str">
            <v>Creative</v>
          </cell>
          <cell r="G119" t="str">
            <v>Deputy Manager</v>
          </cell>
        </row>
        <row r="120">
          <cell r="B120">
            <v>43644</v>
          </cell>
          <cell r="C120" t="str">
            <v>R743</v>
          </cell>
          <cell r="D120" t="str">
            <v>Md. Kamrul Hasan</v>
          </cell>
          <cell r="E120">
            <v>43644</v>
          </cell>
          <cell r="F120" t="str">
            <v>Accounts And Finance</v>
          </cell>
          <cell r="G120" t="str">
            <v>Assistant Manager</v>
          </cell>
        </row>
        <row r="121">
          <cell r="B121">
            <v>44011</v>
          </cell>
          <cell r="C121" t="str">
            <v>440112251444</v>
          </cell>
          <cell r="D121" t="str">
            <v xml:space="preserve">Subimal Chowdhury </v>
          </cell>
          <cell r="E121">
            <v>44011</v>
          </cell>
          <cell r="F121" t="str">
            <v>Civil</v>
          </cell>
          <cell r="G121" t="str">
            <v>Deputy Manager</v>
          </cell>
        </row>
        <row r="122">
          <cell r="B122">
            <v>44381</v>
          </cell>
          <cell r="C122" t="str">
            <v>443812421403</v>
          </cell>
          <cell r="D122" t="str">
            <v>Feroz Ahamed</v>
          </cell>
          <cell r="E122">
            <v>44381</v>
          </cell>
          <cell r="F122" t="str">
            <v>Snacks</v>
          </cell>
          <cell r="G122" t="str">
            <v>Junior Executive</v>
          </cell>
        </row>
        <row r="123">
          <cell r="B123">
            <v>44382</v>
          </cell>
          <cell r="C123" t="str">
            <v>443822421403</v>
          </cell>
          <cell r="D123" t="str">
            <v>Md. Rajwanul Haque</v>
          </cell>
          <cell r="E123">
            <v>44382</v>
          </cell>
          <cell r="F123" t="str">
            <v>Production</v>
          </cell>
          <cell r="G123" t="str">
            <v>Engineer</v>
          </cell>
        </row>
        <row r="124">
          <cell r="B124">
            <v>44773</v>
          </cell>
          <cell r="C124" t="str">
            <v>447732251402</v>
          </cell>
          <cell r="D124" t="str">
            <v>Md. Ashikuzzaman</v>
          </cell>
          <cell r="E124">
            <v>44773</v>
          </cell>
          <cell r="F124" t="str">
            <v>CSD</v>
          </cell>
          <cell r="G124" t="str">
            <v>Senior Executive</v>
          </cell>
        </row>
        <row r="125">
          <cell r="B125">
            <v>45889</v>
          </cell>
          <cell r="C125" t="str">
            <v>458892251372</v>
          </cell>
          <cell r="D125" t="str">
            <v>A.S.M. Shihabul Huda</v>
          </cell>
          <cell r="E125">
            <v>45889</v>
          </cell>
          <cell r="F125" t="str">
            <v>Quality Control</v>
          </cell>
          <cell r="G125" t="str">
            <v>Deputy General Manager</v>
          </cell>
        </row>
        <row r="126">
          <cell r="B126">
            <v>48600</v>
          </cell>
          <cell r="C126" t="str">
            <v>486002251421</v>
          </cell>
          <cell r="D126" t="str">
            <v>Md. Nazrul Islam</v>
          </cell>
          <cell r="E126">
            <v>48600</v>
          </cell>
          <cell r="F126" t="str">
            <v>Electrical</v>
          </cell>
          <cell r="G126" t="str">
            <v>Senior Engineer</v>
          </cell>
        </row>
        <row r="127">
          <cell r="B127">
            <v>48601</v>
          </cell>
          <cell r="C127" t="str">
            <v>486012251421</v>
          </cell>
          <cell r="D127" t="str">
            <v>Md. Saidur Rahman</v>
          </cell>
          <cell r="E127">
            <v>48601</v>
          </cell>
          <cell r="F127" t="str">
            <v>Electrical</v>
          </cell>
          <cell r="G127" t="str">
            <v>Senior Engineer</v>
          </cell>
        </row>
        <row r="128">
          <cell r="B128">
            <v>55434</v>
          </cell>
          <cell r="C128" t="str">
            <v>FR727</v>
          </cell>
          <cell r="D128" t="str">
            <v>Md. Afzal Hossain</v>
          </cell>
          <cell r="E128">
            <v>55434</v>
          </cell>
          <cell r="F128" t="str">
            <v>Store</v>
          </cell>
          <cell r="G128" t="str">
            <v>Junior Executive</v>
          </cell>
        </row>
        <row r="129">
          <cell r="B129">
            <v>55840</v>
          </cell>
          <cell r="C129" t="str">
            <v>FR731</v>
          </cell>
          <cell r="D129" t="str">
            <v>Tushar Ahmed</v>
          </cell>
          <cell r="E129">
            <v>55840</v>
          </cell>
          <cell r="F129" t="str">
            <v>Admin</v>
          </cell>
          <cell r="G129" t="str">
            <v>Assistant Manager</v>
          </cell>
        </row>
        <row r="130">
          <cell r="B130">
            <v>56156</v>
          </cell>
          <cell r="C130" t="str">
            <v>R795</v>
          </cell>
          <cell r="D130" t="str">
            <v>Sadibur Rahman Khan</v>
          </cell>
          <cell r="E130">
            <v>56156</v>
          </cell>
          <cell r="F130" t="str">
            <v>Event</v>
          </cell>
          <cell r="G130" t="str">
            <v>Assistant Manager</v>
          </cell>
        </row>
        <row r="131">
          <cell r="B131">
            <v>56159</v>
          </cell>
          <cell r="C131" t="str">
            <v>FR740</v>
          </cell>
          <cell r="D131" t="str">
            <v>Md. Shakawat Hossain</v>
          </cell>
          <cell r="E131">
            <v>56159</v>
          </cell>
          <cell r="F131" t="str">
            <v>Snacks</v>
          </cell>
          <cell r="G131" t="str">
            <v>Senior Executive</v>
          </cell>
        </row>
        <row r="132">
          <cell r="B132">
            <v>56617</v>
          </cell>
          <cell r="C132" t="str">
            <v>FR756</v>
          </cell>
          <cell r="D132" t="str">
            <v>Molla Abul Kalam Azad</v>
          </cell>
          <cell r="E132">
            <v>56617</v>
          </cell>
          <cell r="F132" t="str">
            <v>Store</v>
          </cell>
          <cell r="G132" t="str">
            <v>Executive</v>
          </cell>
        </row>
        <row r="133">
          <cell r="B133">
            <v>57970</v>
          </cell>
          <cell r="C133" t="str">
            <v>AFBL(Marketing)-628</v>
          </cell>
          <cell r="D133" t="str">
            <v>Md. Zamir Hossain</v>
          </cell>
          <cell r="E133">
            <v>57970</v>
          </cell>
          <cell r="F133" t="str">
            <v>Sales &amp; Marketing</v>
          </cell>
          <cell r="G133" t="str">
            <v>Area Sales Manager</v>
          </cell>
        </row>
        <row r="134">
          <cell r="B134">
            <v>57976</v>
          </cell>
          <cell r="C134" t="str">
            <v>AFBL(Marketing)-634</v>
          </cell>
          <cell r="D134" t="str">
            <v>Kazi Zillur Rahman</v>
          </cell>
          <cell r="E134">
            <v>57976</v>
          </cell>
          <cell r="F134" t="str">
            <v>Sales &amp; Marketing</v>
          </cell>
          <cell r="G134" t="str">
            <v>Area Sales Manager</v>
          </cell>
        </row>
        <row r="135">
          <cell r="B135">
            <v>57992</v>
          </cell>
          <cell r="C135" t="str">
            <v>AFBL(Marketing)-650</v>
          </cell>
          <cell r="D135" t="str">
            <v>Hassan Mahamud</v>
          </cell>
          <cell r="E135">
            <v>57992</v>
          </cell>
          <cell r="F135" t="str">
            <v>Sales &amp; Marketing</v>
          </cell>
          <cell r="G135" t="str">
            <v>Area Sales Manager</v>
          </cell>
        </row>
        <row r="136">
          <cell r="B136">
            <v>57993</v>
          </cell>
          <cell r="C136" t="str">
            <v>AFBL(Marketing)-651</v>
          </cell>
          <cell r="D136" t="str">
            <v>Sava Ranjan Dhali</v>
          </cell>
          <cell r="E136">
            <v>57993</v>
          </cell>
          <cell r="F136" t="str">
            <v>Sales &amp; Marketing</v>
          </cell>
          <cell r="G136" t="str">
            <v>Area Sales Manager</v>
          </cell>
        </row>
        <row r="137">
          <cell r="B137">
            <v>58026</v>
          </cell>
          <cell r="C137" t="str">
            <v>AFBL(Marketing)-684</v>
          </cell>
          <cell r="D137" t="str">
            <v>Md Jahidur Rahman</v>
          </cell>
          <cell r="E137">
            <v>58026</v>
          </cell>
          <cell r="F137" t="str">
            <v>Sales Admin</v>
          </cell>
          <cell r="G137" t="str">
            <v>Assistant Manager</v>
          </cell>
        </row>
        <row r="138">
          <cell r="B138">
            <v>58038</v>
          </cell>
          <cell r="C138" t="str">
            <v>AFBL(Marketing)-005</v>
          </cell>
          <cell r="D138" t="str">
            <v>Md. Rowsoun Ali</v>
          </cell>
          <cell r="E138">
            <v>58038</v>
          </cell>
          <cell r="F138" t="str">
            <v>Sales &amp; Marketing</v>
          </cell>
          <cell r="G138" t="str">
            <v>Regional Sales Incharge</v>
          </cell>
        </row>
        <row r="139">
          <cell r="B139">
            <v>58052</v>
          </cell>
          <cell r="C139" t="str">
            <v>AFBL(Marketing)-019</v>
          </cell>
          <cell r="D139" t="str">
            <v>Md. Jasim Uddin</v>
          </cell>
          <cell r="E139">
            <v>58052</v>
          </cell>
          <cell r="F139" t="str">
            <v>Sales &amp; Marketing</v>
          </cell>
          <cell r="G139" t="str">
            <v>Regional Sales Manager</v>
          </cell>
        </row>
        <row r="140">
          <cell r="B140">
            <v>58054</v>
          </cell>
          <cell r="C140" t="str">
            <v>AFBL(Marketing)-021</v>
          </cell>
          <cell r="D140" t="str">
            <v>Md. Sahab Ali</v>
          </cell>
          <cell r="E140">
            <v>58054</v>
          </cell>
          <cell r="F140" t="str">
            <v>Sales &amp; Marketing</v>
          </cell>
          <cell r="G140" t="str">
            <v>Regional Sales Manager</v>
          </cell>
        </row>
        <row r="141">
          <cell r="B141">
            <v>58057</v>
          </cell>
          <cell r="C141" t="str">
            <v>AFBL(Marketing)-024</v>
          </cell>
          <cell r="D141" t="str">
            <v>Md. Bayezid Sheikh</v>
          </cell>
          <cell r="E141">
            <v>58057</v>
          </cell>
          <cell r="F141" t="str">
            <v>Sales &amp; Marketing</v>
          </cell>
          <cell r="G141" t="str">
            <v>Regional Sales Manager</v>
          </cell>
        </row>
        <row r="142">
          <cell r="B142">
            <v>58059</v>
          </cell>
          <cell r="C142" t="str">
            <v>AFBL(Marketing)-026</v>
          </cell>
          <cell r="D142" t="str">
            <v>Md. Abu Yusuf</v>
          </cell>
          <cell r="E142">
            <v>58059</v>
          </cell>
          <cell r="F142" t="str">
            <v>Sales &amp; Marketing</v>
          </cell>
          <cell r="G142" t="str">
            <v>Regional Sales Manager</v>
          </cell>
        </row>
        <row r="143">
          <cell r="B143">
            <v>58070</v>
          </cell>
          <cell r="C143" t="str">
            <v>AFBL(Marketing)-037</v>
          </cell>
          <cell r="D143" t="str">
            <v>Safiqul Islam</v>
          </cell>
          <cell r="E143">
            <v>58070</v>
          </cell>
          <cell r="F143" t="str">
            <v>Distribution</v>
          </cell>
          <cell r="G143" t="str">
            <v>Assistant Manager</v>
          </cell>
        </row>
        <row r="144">
          <cell r="B144">
            <v>58071</v>
          </cell>
          <cell r="C144" t="str">
            <v>AFBL(Marketing)-038</v>
          </cell>
          <cell r="D144" t="str">
            <v xml:space="preserve">Md. Hasan Morshed </v>
          </cell>
          <cell r="E144">
            <v>58071</v>
          </cell>
          <cell r="F144" t="str">
            <v>Transport</v>
          </cell>
          <cell r="G144" t="str">
            <v>Senior Executive</v>
          </cell>
        </row>
        <row r="145">
          <cell r="B145">
            <v>58073</v>
          </cell>
          <cell r="C145" t="str">
            <v>AFBL(Marketing)-040</v>
          </cell>
          <cell r="D145" t="str">
            <v>Md. Raseduzzaman</v>
          </cell>
          <cell r="E145">
            <v>58073</v>
          </cell>
          <cell r="F145" t="str">
            <v>Transport</v>
          </cell>
          <cell r="G145" t="str">
            <v>Deputy Manager</v>
          </cell>
        </row>
        <row r="146">
          <cell r="B146">
            <v>58074</v>
          </cell>
          <cell r="C146" t="str">
            <v>AFBL(Marketing)-041</v>
          </cell>
          <cell r="D146" t="str">
            <v>Md. Rafikul Islam</v>
          </cell>
          <cell r="E146">
            <v>58074</v>
          </cell>
          <cell r="F146" t="str">
            <v>Distribution</v>
          </cell>
          <cell r="G146" t="str">
            <v>Senior Executive</v>
          </cell>
        </row>
        <row r="147">
          <cell r="B147">
            <v>58076</v>
          </cell>
          <cell r="C147" t="str">
            <v>AFBL(Marketing)-043</v>
          </cell>
          <cell r="D147" t="str">
            <v>Md. Abul Kalam</v>
          </cell>
          <cell r="E147">
            <v>58076</v>
          </cell>
          <cell r="F147" t="str">
            <v>Distribution</v>
          </cell>
          <cell r="G147" t="str">
            <v>Senior Executive</v>
          </cell>
        </row>
        <row r="148">
          <cell r="B148">
            <v>58146</v>
          </cell>
          <cell r="C148" t="str">
            <v>AFBL(Marketing)-113</v>
          </cell>
          <cell r="D148" t="str">
            <v>Abu Ishaque Md. Murshed</v>
          </cell>
          <cell r="E148">
            <v>58146</v>
          </cell>
          <cell r="F148" t="str">
            <v>Distribution</v>
          </cell>
          <cell r="G148" t="str">
            <v>Assistant Manager</v>
          </cell>
        </row>
        <row r="149">
          <cell r="B149">
            <v>58153</v>
          </cell>
          <cell r="C149" t="str">
            <v>AFBL(Marketing)-120</v>
          </cell>
          <cell r="D149" t="str">
            <v>Md.Sana Ullah</v>
          </cell>
          <cell r="E149">
            <v>58153</v>
          </cell>
          <cell r="F149" t="str">
            <v>HORECA</v>
          </cell>
          <cell r="G149" t="str">
            <v>General Manager</v>
          </cell>
        </row>
        <row r="150">
          <cell r="B150">
            <v>58155</v>
          </cell>
          <cell r="C150" t="str">
            <v>AFBL(Marketing)-122</v>
          </cell>
          <cell r="D150" t="str">
            <v>Sheikh Shahed Ahmed</v>
          </cell>
          <cell r="E150">
            <v>58155</v>
          </cell>
          <cell r="F150" t="str">
            <v>New Project &amp; Development</v>
          </cell>
          <cell r="G150" t="str">
            <v>General Manager</v>
          </cell>
        </row>
        <row r="151">
          <cell r="B151">
            <v>58204</v>
          </cell>
          <cell r="C151" t="str">
            <v>AFBL(Marketing)-171</v>
          </cell>
          <cell r="D151" t="str">
            <v>Md. Jahirul Islam Biswas</v>
          </cell>
          <cell r="E151">
            <v>58204</v>
          </cell>
          <cell r="F151" t="str">
            <v>Sales &amp; Marketing</v>
          </cell>
          <cell r="G151" t="str">
            <v>Territory Sales Manager</v>
          </cell>
        </row>
        <row r="152">
          <cell r="B152">
            <v>58213</v>
          </cell>
          <cell r="C152" t="str">
            <v>AFBL(Marketing)-180</v>
          </cell>
          <cell r="D152" t="str">
            <v>Md. Hashem Ahmed</v>
          </cell>
          <cell r="E152">
            <v>58213</v>
          </cell>
          <cell r="F152" t="str">
            <v>Sales &amp; Marketing</v>
          </cell>
          <cell r="G152" t="str">
            <v>Territory Sales Manager</v>
          </cell>
        </row>
        <row r="153">
          <cell r="B153">
            <v>58229</v>
          </cell>
          <cell r="C153" t="str">
            <v>AFBL(Marketing)-196</v>
          </cell>
          <cell r="D153" t="str">
            <v>Md. Shahinur Rahman</v>
          </cell>
          <cell r="E153">
            <v>58229</v>
          </cell>
          <cell r="F153" t="str">
            <v>Sales &amp; Marketing</v>
          </cell>
          <cell r="G153" t="str">
            <v>Territory Sales Manager</v>
          </cell>
        </row>
        <row r="154">
          <cell r="B154">
            <v>58242</v>
          </cell>
          <cell r="C154" t="str">
            <v>AFBL(Marketing)-209</v>
          </cell>
          <cell r="D154" t="str">
            <v>Md. Jamal Uddin</v>
          </cell>
          <cell r="E154">
            <v>58242</v>
          </cell>
          <cell r="F154" t="str">
            <v>Sales Admin</v>
          </cell>
          <cell r="G154" t="str">
            <v>Executive</v>
          </cell>
        </row>
        <row r="155">
          <cell r="B155">
            <v>58246</v>
          </cell>
          <cell r="C155" t="str">
            <v>AFBL(Marketing)-213</v>
          </cell>
          <cell r="D155" t="str">
            <v>Dipuonkar Saha</v>
          </cell>
          <cell r="E155">
            <v>58246</v>
          </cell>
          <cell r="F155" t="str">
            <v>Sales &amp; Marketing</v>
          </cell>
          <cell r="G155" t="str">
            <v>Territory Sales Manager</v>
          </cell>
        </row>
        <row r="156">
          <cell r="B156">
            <v>58252</v>
          </cell>
          <cell r="C156" t="str">
            <v>AFBL(Marketing)-219</v>
          </cell>
          <cell r="D156" t="str">
            <v>Md. Motleb Uddin</v>
          </cell>
          <cell r="E156">
            <v>58252</v>
          </cell>
          <cell r="F156" t="str">
            <v>Sales &amp; Marketing</v>
          </cell>
          <cell r="G156" t="str">
            <v>Territory Sales Manager</v>
          </cell>
        </row>
        <row r="157">
          <cell r="B157">
            <v>58270</v>
          </cell>
          <cell r="C157" t="str">
            <v>AFBL(Marketing)-237</v>
          </cell>
          <cell r="D157" t="str">
            <v>Mizanur Rahman</v>
          </cell>
          <cell r="E157">
            <v>58270</v>
          </cell>
          <cell r="F157" t="str">
            <v>Sales &amp; Marketing</v>
          </cell>
          <cell r="G157" t="str">
            <v>Territory Sales Manager</v>
          </cell>
        </row>
        <row r="158">
          <cell r="B158">
            <v>58311</v>
          </cell>
          <cell r="C158" t="str">
            <v>AFBL(Marketing)-277</v>
          </cell>
          <cell r="D158" t="str">
            <v>Md. Jinder Ali</v>
          </cell>
          <cell r="E158">
            <v>58311</v>
          </cell>
          <cell r="F158" t="str">
            <v>Sales &amp; Marketing</v>
          </cell>
          <cell r="G158" t="str">
            <v>Territory Sales Manager</v>
          </cell>
        </row>
        <row r="159">
          <cell r="B159">
            <v>58355</v>
          </cell>
          <cell r="C159" t="str">
            <v>AFBL(Marketing)-321</v>
          </cell>
          <cell r="D159" t="str">
            <v>Agroj Roy</v>
          </cell>
          <cell r="E159">
            <v>58355</v>
          </cell>
          <cell r="F159" t="str">
            <v>Sales &amp; Marketing</v>
          </cell>
          <cell r="G159" t="str">
            <v>Territory Sales Manager</v>
          </cell>
        </row>
        <row r="160">
          <cell r="B160">
            <v>58368</v>
          </cell>
          <cell r="C160" t="str">
            <v>AFBL(Marketing)-334</v>
          </cell>
          <cell r="D160" t="str">
            <v>Md. Shafiul Alam Howlader</v>
          </cell>
          <cell r="E160">
            <v>58368</v>
          </cell>
          <cell r="F160" t="str">
            <v>Sales &amp; Marketing</v>
          </cell>
          <cell r="G160" t="str">
            <v>Area Sales Manager</v>
          </cell>
        </row>
        <row r="161">
          <cell r="B161">
            <v>58391</v>
          </cell>
          <cell r="C161" t="str">
            <v>AFBL(Marketing)-357</v>
          </cell>
          <cell r="D161" t="str">
            <v>Nikhil Chandra Ray</v>
          </cell>
          <cell r="E161">
            <v>58391</v>
          </cell>
          <cell r="F161" t="str">
            <v>Sales &amp; Marketing</v>
          </cell>
          <cell r="G161" t="str">
            <v>Territory Sales Manager</v>
          </cell>
        </row>
        <row r="162">
          <cell r="B162">
            <v>58404</v>
          </cell>
          <cell r="C162" t="str">
            <v>AFBL(Marketing)-371</v>
          </cell>
          <cell r="D162" t="str">
            <v>Md. Shahajul Islam</v>
          </cell>
          <cell r="E162">
            <v>58404</v>
          </cell>
          <cell r="F162" t="str">
            <v>Sales &amp; Marketing</v>
          </cell>
          <cell r="G162" t="str">
            <v>Senior Territory Sales Manager</v>
          </cell>
        </row>
        <row r="163">
          <cell r="B163">
            <v>58409</v>
          </cell>
          <cell r="C163" t="str">
            <v>AFBL(Marketing)-376</v>
          </cell>
          <cell r="D163" t="str">
            <v>Md. Abdul Hamid</v>
          </cell>
          <cell r="E163">
            <v>58409</v>
          </cell>
          <cell r="F163" t="str">
            <v>Sales &amp; Marketing</v>
          </cell>
          <cell r="G163" t="str">
            <v>Territory Sales Manager</v>
          </cell>
        </row>
        <row r="164">
          <cell r="B164">
            <v>58412</v>
          </cell>
          <cell r="C164" t="str">
            <v>AFBL(Marketing)-379</v>
          </cell>
          <cell r="D164" t="str">
            <v>Md. Aktaruzzaman</v>
          </cell>
          <cell r="E164">
            <v>58412</v>
          </cell>
          <cell r="F164" t="str">
            <v>Sales &amp; Marketing</v>
          </cell>
          <cell r="G164" t="str">
            <v>Territory Sales Manager</v>
          </cell>
        </row>
        <row r="165">
          <cell r="B165">
            <v>58423</v>
          </cell>
          <cell r="C165" t="str">
            <v>AFBL(Marketing)-390</v>
          </cell>
          <cell r="D165" t="str">
            <v>Md. Kabir Hossain</v>
          </cell>
          <cell r="E165">
            <v>58423</v>
          </cell>
          <cell r="F165" t="str">
            <v>Sales &amp; Marketing</v>
          </cell>
          <cell r="G165" t="str">
            <v>Territory Sales Manager</v>
          </cell>
        </row>
        <row r="166">
          <cell r="B166">
            <v>58448</v>
          </cell>
          <cell r="C166" t="str">
            <v>AFBL(Marketing)-415</v>
          </cell>
          <cell r="D166" t="str">
            <v xml:space="preserve">Md. Jafar Ali </v>
          </cell>
          <cell r="E166">
            <v>58448</v>
          </cell>
          <cell r="F166" t="str">
            <v>Sales &amp; Marketing</v>
          </cell>
          <cell r="G166" t="str">
            <v>Area Sales Manager</v>
          </cell>
        </row>
        <row r="167">
          <cell r="B167">
            <v>58505</v>
          </cell>
          <cell r="C167" t="str">
            <v>AFBL(Marketing)-472</v>
          </cell>
          <cell r="D167" t="str">
            <v>Md. Akter Hossain</v>
          </cell>
          <cell r="E167">
            <v>58505</v>
          </cell>
          <cell r="F167" t="str">
            <v>Sales &amp; Marketing</v>
          </cell>
          <cell r="G167" t="str">
            <v>Territory Sales Manager</v>
          </cell>
        </row>
        <row r="168">
          <cell r="B168">
            <v>58513</v>
          </cell>
          <cell r="C168" t="str">
            <v>AFBL(Marketing)-480</v>
          </cell>
          <cell r="D168" t="str">
            <v>Md. Abdul Mannan</v>
          </cell>
          <cell r="E168">
            <v>58513</v>
          </cell>
          <cell r="F168" t="str">
            <v>Sales &amp; Marketing</v>
          </cell>
          <cell r="G168" t="str">
            <v>Territory Sales Manager</v>
          </cell>
        </row>
        <row r="169">
          <cell r="B169">
            <v>58514</v>
          </cell>
          <cell r="C169" t="str">
            <v>AFBL(Marketing)-481</v>
          </cell>
          <cell r="D169" t="str">
            <v>Md. Jubaer Hossain</v>
          </cell>
          <cell r="E169">
            <v>58514</v>
          </cell>
          <cell r="F169" t="str">
            <v>Sales &amp; Marketing</v>
          </cell>
          <cell r="G169" t="str">
            <v>Territory Sales Manager</v>
          </cell>
        </row>
        <row r="170">
          <cell r="B170">
            <v>58518</v>
          </cell>
          <cell r="C170" t="str">
            <v>AFBL(Marketing)-485</v>
          </cell>
          <cell r="D170" t="str">
            <v>Md. Rafiqul Islam</v>
          </cell>
          <cell r="E170">
            <v>58518</v>
          </cell>
          <cell r="F170" t="str">
            <v>Sales &amp; Marketing</v>
          </cell>
          <cell r="G170" t="str">
            <v>Area Sales Manager</v>
          </cell>
        </row>
        <row r="171">
          <cell r="B171">
            <v>58539</v>
          </cell>
          <cell r="C171" t="str">
            <v>AFBL(Marketing)-506</v>
          </cell>
          <cell r="D171" t="str">
            <v>Sk. Hasanul Islam</v>
          </cell>
          <cell r="E171">
            <v>58539</v>
          </cell>
          <cell r="F171" t="str">
            <v>Sales &amp; Marketing</v>
          </cell>
          <cell r="G171" t="str">
            <v>Area Sales Manager</v>
          </cell>
        </row>
        <row r="172">
          <cell r="B172">
            <v>58545</v>
          </cell>
          <cell r="C172" t="str">
            <v>AFBL(Marketing)-512</v>
          </cell>
          <cell r="D172" t="str">
            <v>Mohammad Jashim Uddin</v>
          </cell>
          <cell r="E172">
            <v>58545</v>
          </cell>
          <cell r="F172" t="str">
            <v>Sales &amp; Marketing</v>
          </cell>
          <cell r="G172" t="str">
            <v>Territory Sales Manager</v>
          </cell>
        </row>
        <row r="173">
          <cell r="B173">
            <v>58554</v>
          </cell>
          <cell r="C173" t="str">
            <v>AFBL(Marketing)-521</v>
          </cell>
          <cell r="D173" t="str">
            <v>Md. Shafiul Alam</v>
          </cell>
          <cell r="E173">
            <v>58554</v>
          </cell>
          <cell r="F173" t="str">
            <v>Sales &amp; Marketing</v>
          </cell>
          <cell r="G173" t="str">
            <v>Territory Sales Manager</v>
          </cell>
        </row>
        <row r="174">
          <cell r="B174">
            <v>58561</v>
          </cell>
          <cell r="C174" t="str">
            <v>AFBL(Marketing)-528</v>
          </cell>
          <cell r="D174" t="str">
            <v>Sree Nayan Kumar Das</v>
          </cell>
          <cell r="E174">
            <v>58561</v>
          </cell>
          <cell r="F174" t="str">
            <v>Sales &amp; Marketing</v>
          </cell>
          <cell r="G174" t="str">
            <v>Territory Sales Manager</v>
          </cell>
        </row>
        <row r="175">
          <cell r="B175">
            <v>58564</v>
          </cell>
          <cell r="C175" t="str">
            <v>R1531</v>
          </cell>
          <cell r="D175" t="str">
            <v>Manjur Rahaman</v>
          </cell>
          <cell r="E175">
            <v>58564</v>
          </cell>
          <cell r="F175" t="str">
            <v>New Project &amp; Development</v>
          </cell>
          <cell r="G175" t="str">
            <v>Manager</v>
          </cell>
        </row>
        <row r="176">
          <cell r="B176">
            <v>58567</v>
          </cell>
          <cell r="C176" t="str">
            <v>AFBL(Marketing)-534</v>
          </cell>
          <cell r="D176" t="str">
            <v>Md. Wahidur Rahman</v>
          </cell>
          <cell r="E176">
            <v>58567</v>
          </cell>
          <cell r="F176" t="str">
            <v>Distribution</v>
          </cell>
          <cell r="G176" t="str">
            <v>Senior Executive</v>
          </cell>
        </row>
        <row r="177">
          <cell r="B177">
            <v>58573</v>
          </cell>
          <cell r="C177" t="str">
            <v>AFBL(Marketing)-540</v>
          </cell>
          <cell r="D177" t="str">
            <v>Md. Edrish Ali Khan</v>
          </cell>
          <cell r="E177">
            <v>58573</v>
          </cell>
          <cell r="F177" t="str">
            <v>Distribution</v>
          </cell>
          <cell r="G177" t="str">
            <v>Senior Executive</v>
          </cell>
        </row>
        <row r="178">
          <cell r="B178">
            <v>58576</v>
          </cell>
          <cell r="C178" t="str">
            <v>AFBL(Marketing)-543</v>
          </cell>
          <cell r="D178" t="str">
            <v>Md. Shahidul Islam</v>
          </cell>
          <cell r="E178">
            <v>58576</v>
          </cell>
          <cell r="F178" t="str">
            <v>Accounts And Finance</v>
          </cell>
          <cell r="G178" t="str">
            <v>Executive</v>
          </cell>
        </row>
        <row r="179">
          <cell r="B179">
            <v>58581</v>
          </cell>
          <cell r="C179" t="str">
            <v>AFBL(Marketing)-548</v>
          </cell>
          <cell r="D179" t="str">
            <v>Md. Azizul Haque</v>
          </cell>
          <cell r="E179">
            <v>58581</v>
          </cell>
          <cell r="F179" t="str">
            <v>Sales &amp; Marketing</v>
          </cell>
          <cell r="G179" t="str">
            <v>Sales Manager</v>
          </cell>
        </row>
        <row r="180">
          <cell r="B180">
            <v>58582</v>
          </cell>
          <cell r="C180" t="str">
            <v>AFBL(Marketing)-549</v>
          </cell>
          <cell r="D180" t="str">
            <v>AJM Mohiuddin</v>
          </cell>
          <cell r="E180">
            <v>58582</v>
          </cell>
          <cell r="F180" t="str">
            <v>Sales &amp; Marketing</v>
          </cell>
          <cell r="G180" t="str">
            <v>Regional Sales Manager</v>
          </cell>
        </row>
        <row r="181">
          <cell r="B181">
            <v>58588</v>
          </cell>
          <cell r="C181" t="str">
            <v>AFBL(Marketing)-555</v>
          </cell>
          <cell r="D181" t="str">
            <v>Md. Arifur Rahman</v>
          </cell>
          <cell r="E181">
            <v>58588</v>
          </cell>
          <cell r="F181" t="str">
            <v>MIS</v>
          </cell>
          <cell r="G181" t="str">
            <v>Deputy Manager</v>
          </cell>
        </row>
        <row r="182">
          <cell r="B182">
            <v>58598</v>
          </cell>
          <cell r="C182" t="str">
            <v>AFBL(Marketing)-565</v>
          </cell>
          <cell r="D182" t="str">
            <v>Sulove Kumar Saha</v>
          </cell>
          <cell r="E182">
            <v>58598</v>
          </cell>
          <cell r="F182" t="str">
            <v>Export</v>
          </cell>
          <cell r="G182" t="str">
            <v>Senior SDM</v>
          </cell>
        </row>
        <row r="183">
          <cell r="B183">
            <v>58611</v>
          </cell>
          <cell r="C183" t="str">
            <v>AFBL(Marketing)-579</v>
          </cell>
          <cell r="D183" t="str">
            <v>Md. Shimul Ahamed</v>
          </cell>
          <cell r="E183">
            <v>58611</v>
          </cell>
          <cell r="F183" t="str">
            <v>Sales &amp; Marketing</v>
          </cell>
          <cell r="G183" t="str">
            <v>Area Sales Manager</v>
          </cell>
        </row>
        <row r="184">
          <cell r="B184">
            <v>58614</v>
          </cell>
          <cell r="C184" t="str">
            <v>AFBL(Marketing)-582</v>
          </cell>
          <cell r="D184" t="str">
            <v>Khalilur Rahman</v>
          </cell>
          <cell r="E184">
            <v>58614</v>
          </cell>
          <cell r="F184" t="str">
            <v>Sales &amp; Marketing</v>
          </cell>
          <cell r="G184" t="str">
            <v>Area Sales Manager</v>
          </cell>
        </row>
        <row r="185">
          <cell r="B185">
            <v>58621</v>
          </cell>
          <cell r="C185" t="str">
            <v>AFBL(Marketing)-589</v>
          </cell>
          <cell r="D185" t="str">
            <v>Kamal Hossain</v>
          </cell>
          <cell r="E185">
            <v>58621</v>
          </cell>
          <cell r="F185" t="str">
            <v>Sales &amp; Marketing</v>
          </cell>
          <cell r="G185" t="str">
            <v>Area Sales Manager</v>
          </cell>
        </row>
        <row r="186">
          <cell r="B186">
            <v>71632</v>
          </cell>
          <cell r="C186" t="str">
            <v>APFIL-71632</v>
          </cell>
          <cell r="D186" t="str">
            <v>Md. Tuhin Miah</v>
          </cell>
          <cell r="E186">
            <v>71632</v>
          </cell>
          <cell r="F186" t="str">
            <v>Store</v>
          </cell>
          <cell r="G186" t="str">
            <v>Executive</v>
          </cell>
        </row>
        <row r="187">
          <cell r="B187">
            <v>71905</v>
          </cell>
          <cell r="C187" t="str">
            <v>FR772</v>
          </cell>
          <cell r="D187" t="str">
            <v>Md. Saiful Islam Khan</v>
          </cell>
          <cell r="E187">
            <v>71905</v>
          </cell>
          <cell r="F187" t="str">
            <v>CSD</v>
          </cell>
          <cell r="G187" t="str">
            <v>Senior Executive</v>
          </cell>
        </row>
        <row r="188">
          <cell r="B188">
            <v>72550</v>
          </cell>
          <cell r="C188" t="str">
            <v>FR779</v>
          </cell>
          <cell r="D188" t="str">
            <v>Md. Sagar Ali</v>
          </cell>
          <cell r="E188">
            <v>72550</v>
          </cell>
          <cell r="F188" t="str">
            <v>Distribution</v>
          </cell>
          <cell r="G188" t="str">
            <v>Junior Executive</v>
          </cell>
        </row>
        <row r="189">
          <cell r="B189">
            <v>75070</v>
          </cell>
          <cell r="C189" t="str">
            <v>AFBL(Marketing)-698</v>
          </cell>
          <cell r="D189" t="str">
            <v>Md. Awal Hossaen</v>
          </cell>
          <cell r="E189">
            <v>75070</v>
          </cell>
          <cell r="F189" t="str">
            <v>Modern Trade</v>
          </cell>
          <cell r="G189" t="str">
            <v>Assistant Manager</v>
          </cell>
        </row>
        <row r="190">
          <cell r="B190">
            <v>75079</v>
          </cell>
          <cell r="C190" t="str">
            <v>AFBL(Marketing)-701</v>
          </cell>
          <cell r="D190" t="str">
            <v>Md. Zakir Hossain</v>
          </cell>
          <cell r="E190">
            <v>75079</v>
          </cell>
          <cell r="F190" t="str">
            <v>Institutional Sales</v>
          </cell>
          <cell r="G190" t="str">
            <v>Senior Executive</v>
          </cell>
        </row>
        <row r="191">
          <cell r="B191">
            <v>75082</v>
          </cell>
          <cell r="C191" t="str">
            <v>AFBL(Marketing)-703</v>
          </cell>
          <cell r="D191" t="str">
            <v>Md. Saidul Islam</v>
          </cell>
          <cell r="E191">
            <v>75082</v>
          </cell>
          <cell r="F191" t="str">
            <v>Modern Trade</v>
          </cell>
          <cell r="G191" t="str">
            <v>Senior Executive</v>
          </cell>
        </row>
        <row r="192">
          <cell r="B192">
            <v>75101</v>
          </cell>
          <cell r="C192" t="str">
            <v>AFBL(Marketing)-713</v>
          </cell>
          <cell r="D192" t="str">
            <v>Md. Abul Khair</v>
          </cell>
          <cell r="E192">
            <v>75101</v>
          </cell>
          <cell r="F192" t="str">
            <v>Corporate Affairs</v>
          </cell>
          <cell r="G192" t="str">
            <v>Manager</v>
          </cell>
        </row>
        <row r="193">
          <cell r="B193">
            <v>77465</v>
          </cell>
          <cell r="C193" t="str">
            <v>AFBL(Marketing)-726</v>
          </cell>
          <cell r="D193" t="str">
            <v>Md. Mizanur Rahman</v>
          </cell>
          <cell r="E193">
            <v>77465</v>
          </cell>
          <cell r="F193" t="str">
            <v>Distribution</v>
          </cell>
          <cell r="G193" t="str">
            <v>Executive</v>
          </cell>
        </row>
        <row r="194">
          <cell r="B194">
            <v>77548</v>
          </cell>
          <cell r="C194" t="str">
            <v>FR790</v>
          </cell>
          <cell r="D194" t="str">
            <v>Md. Mahbubur Rahman</v>
          </cell>
          <cell r="E194">
            <v>77548</v>
          </cell>
          <cell r="F194" t="str">
            <v>Electrical</v>
          </cell>
          <cell r="G194" t="str">
            <v>Engineer</v>
          </cell>
        </row>
        <row r="195">
          <cell r="B195">
            <v>77683</v>
          </cell>
          <cell r="C195" t="str">
            <v>AFBL(Marketing)-728</v>
          </cell>
          <cell r="D195" t="str">
            <v>Bishojit Kumar Sana</v>
          </cell>
          <cell r="E195">
            <v>77683</v>
          </cell>
          <cell r="F195" t="str">
            <v>Sales &amp; Marketing</v>
          </cell>
          <cell r="G195" t="str">
            <v>Territory Sales Manager</v>
          </cell>
        </row>
        <row r="196">
          <cell r="B196">
            <v>77763</v>
          </cell>
          <cell r="C196" t="str">
            <v>FR793</v>
          </cell>
          <cell r="D196" t="str">
            <v>Gazi Saidur Rahman</v>
          </cell>
          <cell r="E196">
            <v>77763</v>
          </cell>
          <cell r="F196" t="str">
            <v>Mechanical</v>
          </cell>
          <cell r="G196" t="str">
            <v>Engineer</v>
          </cell>
        </row>
        <row r="197">
          <cell r="B197">
            <v>77872</v>
          </cell>
          <cell r="C197" t="str">
            <v>R832</v>
          </cell>
          <cell r="D197" t="str">
            <v>Sk. Minhaj Ahmed</v>
          </cell>
          <cell r="E197">
            <v>77872</v>
          </cell>
          <cell r="F197" t="str">
            <v>MIS</v>
          </cell>
          <cell r="G197" t="str">
            <v>Senior Manager</v>
          </cell>
        </row>
        <row r="198">
          <cell r="B198">
            <v>78904</v>
          </cell>
          <cell r="C198" t="str">
            <v>FR802</v>
          </cell>
          <cell r="D198" t="str">
            <v>Taraq Hasan</v>
          </cell>
          <cell r="E198">
            <v>78904</v>
          </cell>
          <cell r="F198" t="str">
            <v>Quality Control</v>
          </cell>
          <cell r="G198" t="str">
            <v>Senior Executive</v>
          </cell>
        </row>
        <row r="199">
          <cell r="B199">
            <v>81871</v>
          </cell>
          <cell r="C199" t="str">
            <v>FR832</v>
          </cell>
          <cell r="D199" t="str">
            <v>Liton Kumar Shil</v>
          </cell>
          <cell r="E199">
            <v>81871</v>
          </cell>
          <cell r="F199" t="str">
            <v>Drinking Water Plant</v>
          </cell>
          <cell r="G199" t="str">
            <v>Senior Executive</v>
          </cell>
        </row>
        <row r="200">
          <cell r="B200">
            <v>83087</v>
          </cell>
          <cell r="C200" t="str">
            <v>FR848</v>
          </cell>
          <cell r="D200" t="str">
            <v>Md. Ohidul Islam</v>
          </cell>
          <cell r="E200">
            <v>83087</v>
          </cell>
          <cell r="F200" t="str">
            <v>Mechanical</v>
          </cell>
          <cell r="G200" t="str">
            <v>Executive</v>
          </cell>
        </row>
        <row r="201">
          <cell r="B201">
            <v>85335</v>
          </cell>
          <cell r="C201" t="str">
            <v>FR875</v>
          </cell>
          <cell r="D201" t="str">
            <v>Md. Abdul Motaleb</v>
          </cell>
          <cell r="E201">
            <v>85335</v>
          </cell>
          <cell r="F201" t="str">
            <v>Mechanical</v>
          </cell>
          <cell r="G201" t="str">
            <v>Engineer</v>
          </cell>
        </row>
        <row r="202">
          <cell r="B202">
            <v>85589</v>
          </cell>
          <cell r="C202" t="str">
            <v>AFBL(Marketing)-883</v>
          </cell>
          <cell r="D202" t="str">
            <v>Md. Mufakkarul Islam</v>
          </cell>
          <cell r="E202">
            <v>85589</v>
          </cell>
          <cell r="F202" t="str">
            <v>Supply Chain</v>
          </cell>
          <cell r="G202" t="str">
            <v>Deputy Manager</v>
          </cell>
        </row>
        <row r="203">
          <cell r="B203">
            <v>85609</v>
          </cell>
          <cell r="C203" t="str">
            <v>FR882</v>
          </cell>
          <cell r="D203" t="str">
            <v>Al Amin Shekh</v>
          </cell>
          <cell r="E203">
            <v>85609</v>
          </cell>
          <cell r="F203" t="str">
            <v>Distribution</v>
          </cell>
          <cell r="G203" t="str">
            <v>Junior Executive</v>
          </cell>
        </row>
        <row r="204">
          <cell r="B204">
            <v>85617</v>
          </cell>
          <cell r="C204" t="str">
            <v>Fr884</v>
          </cell>
          <cell r="D204" t="str">
            <v>Md. Towhidul Islam</v>
          </cell>
          <cell r="E204">
            <v>85617</v>
          </cell>
          <cell r="F204" t="str">
            <v>CSD-7</v>
          </cell>
          <cell r="G204" t="str">
            <v>Engineer</v>
          </cell>
        </row>
        <row r="205">
          <cell r="B205">
            <v>85880</v>
          </cell>
          <cell r="C205" t="str">
            <v>FR891</v>
          </cell>
          <cell r="D205" t="str">
            <v>Md. Bachir Uddin</v>
          </cell>
          <cell r="E205">
            <v>85880</v>
          </cell>
          <cell r="F205" t="str">
            <v>Transport</v>
          </cell>
          <cell r="G205" t="str">
            <v>Executive</v>
          </cell>
        </row>
        <row r="206">
          <cell r="B206">
            <v>85881</v>
          </cell>
          <cell r="C206" t="str">
            <v>FR892</v>
          </cell>
          <cell r="D206" t="str">
            <v>Md. Mahabur Rahman</v>
          </cell>
          <cell r="E206">
            <v>85881</v>
          </cell>
          <cell r="F206" t="str">
            <v>Resource</v>
          </cell>
          <cell r="G206" t="str">
            <v>Junior Executive</v>
          </cell>
        </row>
        <row r="207">
          <cell r="B207">
            <v>86015</v>
          </cell>
          <cell r="C207" t="str">
            <v>FR901</v>
          </cell>
          <cell r="D207" t="str">
            <v xml:space="preserve">S.M. Nasim Reza  </v>
          </cell>
          <cell r="E207">
            <v>86015</v>
          </cell>
          <cell r="F207" t="str">
            <v>CSD</v>
          </cell>
          <cell r="G207" t="str">
            <v>Assistant Engineer</v>
          </cell>
        </row>
        <row r="208">
          <cell r="B208">
            <v>86179</v>
          </cell>
          <cell r="C208" t="str">
            <v>AFBL(Marketing)-904</v>
          </cell>
          <cell r="D208" t="str">
            <v>Halim Hossain</v>
          </cell>
          <cell r="E208">
            <v>86179</v>
          </cell>
          <cell r="F208" t="str">
            <v>Outdoor Management</v>
          </cell>
          <cell r="G208" t="str">
            <v>Assistant Manager</v>
          </cell>
        </row>
        <row r="209">
          <cell r="B209">
            <v>91803</v>
          </cell>
          <cell r="C209" t="str">
            <v>FR926</v>
          </cell>
          <cell r="D209" t="str">
            <v xml:space="preserve">Md. Kamruzzaman </v>
          </cell>
          <cell r="E209">
            <v>91803</v>
          </cell>
          <cell r="F209" t="str">
            <v>Store</v>
          </cell>
          <cell r="G209" t="str">
            <v>Junior Executive</v>
          </cell>
        </row>
        <row r="210">
          <cell r="B210">
            <v>96287</v>
          </cell>
          <cell r="C210" t="str">
            <v>R890</v>
          </cell>
          <cell r="D210" t="str">
            <v>Adnan Shafiq</v>
          </cell>
          <cell r="E210">
            <v>96287</v>
          </cell>
          <cell r="F210" t="str">
            <v>Brand</v>
          </cell>
          <cell r="G210" t="str">
            <v>Senior Manager</v>
          </cell>
        </row>
        <row r="211">
          <cell r="B211">
            <v>96412</v>
          </cell>
          <cell r="C211" t="str">
            <v>AFBL(Marketing)-961</v>
          </cell>
          <cell r="D211" t="str">
            <v>Md. Rafiqul Islam</v>
          </cell>
          <cell r="E211">
            <v>96412</v>
          </cell>
          <cell r="F211" t="str">
            <v>Sales &amp; Marketing</v>
          </cell>
          <cell r="G211" t="str">
            <v>Territory Sales Manager</v>
          </cell>
        </row>
        <row r="212">
          <cell r="B212">
            <v>96426</v>
          </cell>
          <cell r="C212" t="str">
            <v>AFBL(Marketing)-966</v>
          </cell>
          <cell r="D212" t="str">
            <v>Md. Mahmudul Kabir</v>
          </cell>
          <cell r="E212">
            <v>96426</v>
          </cell>
          <cell r="F212" t="str">
            <v>Sales &amp; Marketing</v>
          </cell>
          <cell r="G212" t="str">
            <v>Territory Sales Manager</v>
          </cell>
        </row>
        <row r="213">
          <cell r="B213">
            <v>110097</v>
          </cell>
          <cell r="C213" t="str">
            <v>FR989</v>
          </cell>
          <cell r="D213" t="str">
            <v>Mir Salat Mahmud</v>
          </cell>
          <cell r="E213">
            <v>110097</v>
          </cell>
          <cell r="F213" t="str">
            <v>Electrical</v>
          </cell>
          <cell r="G213" t="str">
            <v>Assistant Manager</v>
          </cell>
        </row>
        <row r="214">
          <cell r="B214">
            <v>110131</v>
          </cell>
          <cell r="C214" t="str">
            <v>FR993</v>
          </cell>
          <cell r="D214" t="str">
            <v>Md. Ayunur rahman</v>
          </cell>
          <cell r="E214">
            <v>110131</v>
          </cell>
          <cell r="F214" t="str">
            <v>Electrical</v>
          </cell>
          <cell r="G214" t="str">
            <v>Senior Engineer</v>
          </cell>
        </row>
        <row r="215">
          <cell r="B215">
            <v>110272</v>
          </cell>
          <cell r="C215" t="str">
            <v>R906</v>
          </cell>
          <cell r="D215" t="str">
            <v>Md. Rafsan Sharif</v>
          </cell>
          <cell r="E215">
            <v>110272</v>
          </cell>
          <cell r="F215" t="str">
            <v>Distribution</v>
          </cell>
          <cell r="G215" t="str">
            <v>Senior Executive</v>
          </cell>
        </row>
        <row r="216">
          <cell r="B216">
            <v>110761</v>
          </cell>
          <cell r="C216" t="str">
            <v>R912</v>
          </cell>
          <cell r="D216" t="str">
            <v>Md. Nasir Uddin</v>
          </cell>
          <cell r="E216">
            <v>110761</v>
          </cell>
          <cell r="F216" t="str">
            <v>Purchase</v>
          </cell>
          <cell r="G216" t="str">
            <v>Manager</v>
          </cell>
        </row>
        <row r="217">
          <cell r="B217">
            <v>111118</v>
          </cell>
          <cell r="C217" t="str">
            <v>AFBL(Marketing)-1014</v>
          </cell>
          <cell r="D217" t="str">
            <v>Md. Azizul Islam</v>
          </cell>
          <cell r="E217">
            <v>111118</v>
          </cell>
          <cell r="F217" t="str">
            <v>Sales &amp; Marketing</v>
          </cell>
          <cell r="G217" t="str">
            <v>Territory Sales Manager</v>
          </cell>
        </row>
        <row r="218">
          <cell r="B218">
            <v>111133</v>
          </cell>
          <cell r="C218" t="str">
            <v>AFBL(Marketing)-1029</v>
          </cell>
          <cell r="D218" t="str">
            <v>Md. Khalilur Rahman</v>
          </cell>
          <cell r="E218">
            <v>111133</v>
          </cell>
          <cell r="F218" t="str">
            <v>Sales &amp; Marketing</v>
          </cell>
          <cell r="G218" t="str">
            <v>Territory Sales Manager</v>
          </cell>
        </row>
        <row r="219">
          <cell r="B219">
            <v>111134</v>
          </cell>
          <cell r="C219" t="str">
            <v>AFBL(Marketing)-1030</v>
          </cell>
          <cell r="D219" t="str">
            <v>Rigan Bala</v>
          </cell>
          <cell r="E219">
            <v>111134</v>
          </cell>
          <cell r="F219" t="str">
            <v>Sales &amp; Marketing</v>
          </cell>
          <cell r="G219" t="str">
            <v>Territory Sales Manager</v>
          </cell>
        </row>
        <row r="220">
          <cell r="B220">
            <v>111353</v>
          </cell>
          <cell r="C220" t="str">
            <v>R924</v>
          </cell>
          <cell r="D220" t="str">
            <v>Muhammad Mahmud Hossain</v>
          </cell>
          <cell r="E220">
            <v>111353</v>
          </cell>
          <cell r="F220" t="str">
            <v>Accounts And Finance</v>
          </cell>
          <cell r="G220" t="str">
            <v>Assistant Manager</v>
          </cell>
        </row>
        <row r="221">
          <cell r="B221">
            <v>112418</v>
          </cell>
          <cell r="C221" t="str">
            <v>AFBL(Marketing)-1049</v>
          </cell>
          <cell r="D221" t="str">
            <v>Md. Sujaet Hossain</v>
          </cell>
          <cell r="E221">
            <v>112418</v>
          </cell>
          <cell r="F221" t="str">
            <v>Distribution</v>
          </cell>
          <cell r="G221" t="str">
            <v>Executive</v>
          </cell>
        </row>
        <row r="222">
          <cell r="B222">
            <v>113785</v>
          </cell>
          <cell r="C222" t="str">
            <v>FR1038</v>
          </cell>
          <cell r="D222" t="str">
            <v>Md. Atikuzzaman Chowdhury</v>
          </cell>
          <cell r="E222">
            <v>113785</v>
          </cell>
          <cell r="F222" t="str">
            <v>Store</v>
          </cell>
          <cell r="G222" t="str">
            <v>Junior Executive</v>
          </cell>
        </row>
        <row r="223">
          <cell r="B223">
            <v>118069</v>
          </cell>
          <cell r="C223" t="str">
            <v>M57</v>
          </cell>
          <cell r="D223" t="str">
            <v>Md. Habibur Rahaman</v>
          </cell>
          <cell r="E223">
            <v>118069</v>
          </cell>
          <cell r="F223" t="str">
            <v>Distribution</v>
          </cell>
          <cell r="G223" t="str">
            <v>Junior Executive</v>
          </cell>
        </row>
        <row r="224">
          <cell r="B224">
            <v>118126</v>
          </cell>
          <cell r="C224" t="str">
            <v>FR1053</v>
          </cell>
          <cell r="D224" t="str">
            <v xml:space="preserve">Mamun Molla </v>
          </cell>
          <cell r="E224">
            <v>118126</v>
          </cell>
          <cell r="F224" t="str">
            <v>Store</v>
          </cell>
          <cell r="G224" t="str">
            <v>Junior Executive</v>
          </cell>
        </row>
        <row r="225">
          <cell r="B225">
            <v>118413</v>
          </cell>
          <cell r="C225" t="str">
            <v>FR1074</v>
          </cell>
          <cell r="D225" t="str">
            <v>Md. Tofazzal Hosen</v>
          </cell>
          <cell r="E225">
            <v>118413</v>
          </cell>
          <cell r="F225" t="str">
            <v>Store</v>
          </cell>
          <cell r="G225" t="str">
            <v>Senior Executive</v>
          </cell>
        </row>
        <row r="226">
          <cell r="B226">
            <v>118461</v>
          </cell>
          <cell r="C226" t="str">
            <v>FR1077</v>
          </cell>
          <cell r="D226" t="str">
            <v xml:space="preserve">Yasin Ali </v>
          </cell>
          <cell r="E226">
            <v>118461</v>
          </cell>
          <cell r="F226" t="str">
            <v>Store</v>
          </cell>
          <cell r="G226" t="str">
            <v>Executive</v>
          </cell>
        </row>
        <row r="227">
          <cell r="B227">
            <v>118531</v>
          </cell>
          <cell r="C227" t="str">
            <v>FR1078</v>
          </cell>
          <cell r="D227" t="str">
            <v>Anwar Hossain Khan</v>
          </cell>
          <cell r="E227">
            <v>118531</v>
          </cell>
          <cell r="F227" t="str">
            <v>Store</v>
          </cell>
          <cell r="G227" t="str">
            <v>Executive</v>
          </cell>
        </row>
        <row r="228">
          <cell r="B228">
            <v>118586</v>
          </cell>
          <cell r="C228" t="str">
            <v>FR1082</v>
          </cell>
          <cell r="D228" t="str">
            <v>Pralay Kumer Dey</v>
          </cell>
          <cell r="E228">
            <v>118586</v>
          </cell>
          <cell r="F228" t="str">
            <v>Distribution</v>
          </cell>
          <cell r="G228" t="str">
            <v>Manager</v>
          </cell>
        </row>
        <row r="229">
          <cell r="B229">
            <v>119727</v>
          </cell>
          <cell r="C229" t="str">
            <v>FR1094</v>
          </cell>
          <cell r="D229" t="str">
            <v>Amit Kumar Das</v>
          </cell>
          <cell r="E229">
            <v>119727</v>
          </cell>
          <cell r="F229" t="str">
            <v>CSD</v>
          </cell>
          <cell r="G229" t="str">
            <v>Senior Executive</v>
          </cell>
        </row>
        <row r="230">
          <cell r="B230">
            <v>119754</v>
          </cell>
          <cell r="C230" t="str">
            <v>FR1097</v>
          </cell>
          <cell r="D230" t="str">
            <v>Md. Mahatab Uddin</v>
          </cell>
          <cell r="E230">
            <v>119754</v>
          </cell>
          <cell r="F230" t="str">
            <v>Accounts And Finance</v>
          </cell>
          <cell r="G230" t="str">
            <v>Deputy Manager</v>
          </cell>
        </row>
        <row r="231">
          <cell r="B231">
            <v>119759</v>
          </cell>
          <cell r="C231" t="str">
            <v>FR1098</v>
          </cell>
          <cell r="D231" t="str">
            <v xml:space="preserve">Md. Abul Kashem </v>
          </cell>
          <cell r="E231">
            <v>119759</v>
          </cell>
          <cell r="F231" t="str">
            <v>Store</v>
          </cell>
          <cell r="G231" t="str">
            <v>Junior Executive</v>
          </cell>
        </row>
        <row r="232">
          <cell r="B232">
            <v>119847</v>
          </cell>
          <cell r="C232" t="str">
            <v>FR1110</v>
          </cell>
          <cell r="D232" t="str">
            <v>Md. Mahmudul Islam</v>
          </cell>
          <cell r="E232">
            <v>119847</v>
          </cell>
          <cell r="F232" t="str">
            <v>Distribution</v>
          </cell>
          <cell r="G232" t="str">
            <v>Junior Executive</v>
          </cell>
        </row>
        <row r="233">
          <cell r="B233">
            <v>119924</v>
          </cell>
          <cell r="C233" t="str">
            <v>FR1120</v>
          </cell>
          <cell r="D233" t="str">
            <v xml:space="preserve">Md. Jahirul Islam </v>
          </cell>
          <cell r="E233">
            <v>119924</v>
          </cell>
          <cell r="F233" t="str">
            <v>CSD</v>
          </cell>
          <cell r="G233" t="str">
            <v>Senior Executive</v>
          </cell>
        </row>
        <row r="234">
          <cell r="B234">
            <v>119996</v>
          </cell>
          <cell r="C234" t="str">
            <v>FR1129</v>
          </cell>
          <cell r="D234" t="str">
            <v>Md. Shabbir Hossain</v>
          </cell>
          <cell r="E234">
            <v>119996</v>
          </cell>
          <cell r="F234" t="str">
            <v>Quality Control</v>
          </cell>
          <cell r="G234" t="str">
            <v>Manager</v>
          </cell>
        </row>
        <row r="235">
          <cell r="B235">
            <v>120110</v>
          </cell>
          <cell r="C235" t="str">
            <v>FR1135</v>
          </cell>
          <cell r="D235" t="str">
            <v>Musa Khan</v>
          </cell>
          <cell r="E235">
            <v>120110</v>
          </cell>
          <cell r="F235" t="str">
            <v>Aseptic Juice</v>
          </cell>
          <cell r="G235" t="str">
            <v>Senior Executive</v>
          </cell>
        </row>
        <row r="236">
          <cell r="B236">
            <v>120273</v>
          </cell>
          <cell r="C236" t="str">
            <v>AFBL(Marketing)-1208</v>
          </cell>
          <cell r="D236" t="str">
            <v>Md. Khorsed Alam</v>
          </cell>
          <cell r="E236">
            <v>120273</v>
          </cell>
          <cell r="F236" t="str">
            <v>Distribution</v>
          </cell>
          <cell r="G236" t="str">
            <v>Executive</v>
          </cell>
        </row>
        <row r="237">
          <cell r="B237">
            <v>120365</v>
          </cell>
          <cell r="C237" t="str">
            <v>AFBL(Marketing)-1234</v>
          </cell>
          <cell r="D237" t="str">
            <v>Nazmul Haque</v>
          </cell>
          <cell r="E237">
            <v>120365</v>
          </cell>
          <cell r="F237" t="str">
            <v>Sales &amp; Marketing</v>
          </cell>
          <cell r="G237" t="str">
            <v>Area Sales Manager</v>
          </cell>
        </row>
        <row r="238">
          <cell r="B238">
            <v>120369</v>
          </cell>
          <cell r="C238" t="str">
            <v>AFBL(Marketing)-1217</v>
          </cell>
          <cell r="D238" t="str">
            <v>Md. Masudur Rahman</v>
          </cell>
          <cell r="E238">
            <v>120369</v>
          </cell>
          <cell r="F238" t="str">
            <v>Sales &amp; Marketing</v>
          </cell>
          <cell r="G238" t="str">
            <v>Regional Sales Manager</v>
          </cell>
        </row>
        <row r="239">
          <cell r="B239">
            <v>120411</v>
          </cell>
          <cell r="C239" t="str">
            <v>AFBL(Marketing)-1244</v>
          </cell>
          <cell r="D239" t="str">
            <v>Asaduzzaman</v>
          </cell>
          <cell r="E239">
            <v>120411</v>
          </cell>
          <cell r="F239" t="str">
            <v>Sales &amp; Marketing</v>
          </cell>
          <cell r="G239" t="str">
            <v>Area Sales Manager</v>
          </cell>
        </row>
        <row r="240">
          <cell r="B240">
            <v>120418</v>
          </cell>
          <cell r="C240" t="str">
            <v>AFBL(Marketing)-1218</v>
          </cell>
          <cell r="D240" t="str">
            <v>Md. Omar Faruk</v>
          </cell>
          <cell r="E240">
            <v>120418</v>
          </cell>
          <cell r="F240" t="str">
            <v>Sales &amp; Marketing</v>
          </cell>
          <cell r="G240" t="str">
            <v>Area Sales Manager</v>
          </cell>
        </row>
        <row r="241">
          <cell r="B241">
            <v>120435</v>
          </cell>
          <cell r="C241" t="str">
            <v>AFBL(Marketing)-1222</v>
          </cell>
          <cell r="D241" t="str">
            <v>Md. Mahamud Hasan</v>
          </cell>
          <cell r="E241">
            <v>120435</v>
          </cell>
          <cell r="F241" t="str">
            <v>Sales &amp; Marketing</v>
          </cell>
          <cell r="G241" t="str">
            <v>Area Sales Manager</v>
          </cell>
        </row>
        <row r="242">
          <cell r="B242">
            <v>120530</v>
          </cell>
          <cell r="C242" t="str">
            <v>AFBL(Marketing)-1309</v>
          </cell>
          <cell r="D242" t="str">
            <v xml:space="preserve">Asadul Islam </v>
          </cell>
          <cell r="E242">
            <v>120530</v>
          </cell>
          <cell r="F242" t="str">
            <v>Sales &amp; Marketing</v>
          </cell>
          <cell r="G242" t="str">
            <v>Territory Sales Manager</v>
          </cell>
        </row>
        <row r="243">
          <cell r="B243">
            <v>120559</v>
          </cell>
          <cell r="C243" t="str">
            <v>AFBL(Marketing)-1288</v>
          </cell>
          <cell r="D243" t="str">
            <v xml:space="preserve">Zamirul Islam </v>
          </cell>
          <cell r="E243">
            <v>120559</v>
          </cell>
          <cell r="F243" t="str">
            <v>Sales &amp; Marketing</v>
          </cell>
          <cell r="G243" t="str">
            <v>Territory Sales Manager</v>
          </cell>
        </row>
        <row r="244">
          <cell r="B244">
            <v>122145</v>
          </cell>
          <cell r="C244" t="str">
            <v>AFBL(Marketing)-1369</v>
          </cell>
          <cell r="D244" t="str">
            <v>Nazrul Islam</v>
          </cell>
          <cell r="E244">
            <v>122145</v>
          </cell>
          <cell r="F244" t="str">
            <v>Sales &amp; Marketing</v>
          </cell>
          <cell r="G244" t="str">
            <v>Territory Sales Manager</v>
          </cell>
        </row>
        <row r="245">
          <cell r="B245">
            <v>122227</v>
          </cell>
          <cell r="C245" t="str">
            <v>AFBL(Marketing)-1401</v>
          </cell>
          <cell r="D245" t="str">
            <v>Md. Zahidul Islam</v>
          </cell>
          <cell r="E245">
            <v>122227</v>
          </cell>
          <cell r="F245" t="str">
            <v>Sales &amp; Marketing</v>
          </cell>
          <cell r="G245" t="str">
            <v>Territory Sales Manager</v>
          </cell>
        </row>
        <row r="246">
          <cell r="B246">
            <v>122254</v>
          </cell>
          <cell r="C246" t="str">
            <v>AFBL(Marketing)-1446</v>
          </cell>
          <cell r="D246" t="str">
            <v>Alamgir Kabir</v>
          </cell>
          <cell r="E246">
            <v>122254</v>
          </cell>
          <cell r="F246" t="str">
            <v>Sales &amp; Marketing</v>
          </cell>
          <cell r="G246" t="str">
            <v>Territory Sales Manager</v>
          </cell>
        </row>
        <row r="247">
          <cell r="B247">
            <v>124378</v>
          </cell>
          <cell r="C247" t="str">
            <v>AFBL(Marketing)-1279</v>
          </cell>
          <cell r="D247" t="str">
            <v>Palash Ghosh</v>
          </cell>
          <cell r="E247">
            <v>124378</v>
          </cell>
          <cell r="F247" t="str">
            <v>Sales &amp; Marketing</v>
          </cell>
          <cell r="G247" t="str">
            <v>Territory Sales Manager</v>
          </cell>
        </row>
        <row r="248">
          <cell r="B248">
            <v>124559</v>
          </cell>
          <cell r="C248" t="str">
            <v>FR1176</v>
          </cell>
          <cell r="D248" t="str">
            <v>Md. Moin Uddin Sheikh</v>
          </cell>
          <cell r="E248">
            <v>124559</v>
          </cell>
          <cell r="F248" t="str">
            <v>Aseptic Juice</v>
          </cell>
          <cell r="G248" t="str">
            <v>Assistant Manager</v>
          </cell>
        </row>
        <row r="249">
          <cell r="B249">
            <v>124560</v>
          </cell>
          <cell r="C249" t="str">
            <v>FR1177</v>
          </cell>
          <cell r="D249" t="str">
            <v>Tushar Kanti Dhar</v>
          </cell>
          <cell r="E249">
            <v>124560</v>
          </cell>
          <cell r="F249" t="str">
            <v>Quality Control</v>
          </cell>
          <cell r="G249" t="str">
            <v>Senior Executive</v>
          </cell>
        </row>
        <row r="250">
          <cell r="B250">
            <v>124733</v>
          </cell>
          <cell r="C250" t="str">
            <v>AFBL(Marketing)-1533</v>
          </cell>
          <cell r="D250" t="str">
            <v>S M Shafiullah</v>
          </cell>
          <cell r="E250">
            <v>124733</v>
          </cell>
          <cell r="F250" t="str">
            <v>Sales &amp; Marketing</v>
          </cell>
          <cell r="G250" t="str">
            <v>Area Sales Manager</v>
          </cell>
        </row>
        <row r="251">
          <cell r="B251">
            <v>124844</v>
          </cell>
          <cell r="C251" t="str">
            <v>AFBL(2)-001</v>
          </cell>
          <cell r="D251" t="str">
            <v>Md. Mokkades Ali</v>
          </cell>
          <cell r="E251">
            <v>124844</v>
          </cell>
          <cell r="F251" t="str">
            <v>Electrical</v>
          </cell>
          <cell r="G251" t="str">
            <v>Deputy Manager</v>
          </cell>
        </row>
        <row r="252">
          <cell r="B252">
            <v>124954</v>
          </cell>
          <cell r="C252" t="str">
            <v>FR1195</v>
          </cell>
          <cell r="D252" t="str">
            <v>Md. Abdullah Al Mamun</v>
          </cell>
          <cell r="E252">
            <v>124954</v>
          </cell>
          <cell r="F252" t="str">
            <v>Distribution</v>
          </cell>
          <cell r="G252" t="str">
            <v>Executive</v>
          </cell>
        </row>
        <row r="253">
          <cell r="B253">
            <v>125009</v>
          </cell>
          <cell r="C253" t="str">
            <v>FR1203</v>
          </cell>
          <cell r="D253" t="str">
            <v xml:space="preserve">Md. Liton Mia </v>
          </cell>
          <cell r="E253">
            <v>125009</v>
          </cell>
          <cell r="F253" t="str">
            <v>Distribution</v>
          </cell>
          <cell r="G253" t="str">
            <v>Junior Executive</v>
          </cell>
        </row>
        <row r="254">
          <cell r="B254">
            <v>125030</v>
          </cell>
          <cell r="C254" t="str">
            <v>FR1205</v>
          </cell>
          <cell r="D254" t="str">
            <v>Md. Ariful Islam</v>
          </cell>
          <cell r="E254">
            <v>125030</v>
          </cell>
          <cell r="F254" t="str">
            <v>Distribution</v>
          </cell>
          <cell r="G254" t="str">
            <v>Junior Executive</v>
          </cell>
        </row>
        <row r="255">
          <cell r="B255">
            <v>128289</v>
          </cell>
          <cell r="C255" t="str">
            <v>FR1213</v>
          </cell>
          <cell r="D255" t="str">
            <v xml:space="preserve">Rashedul Islam </v>
          </cell>
          <cell r="E255">
            <v>128289</v>
          </cell>
          <cell r="F255" t="str">
            <v>Store</v>
          </cell>
          <cell r="G255" t="str">
            <v>Junior Executive</v>
          </cell>
        </row>
        <row r="256">
          <cell r="B256">
            <v>129721</v>
          </cell>
          <cell r="C256" t="str">
            <v>R977</v>
          </cell>
          <cell r="D256" t="str">
            <v>Md. Rakibul Islam</v>
          </cell>
          <cell r="E256">
            <v>129721</v>
          </cell>
          <cell r="F256" t="str">
            <v>Outdoor Management</v>
          </cell>
          <cell r="G256" t="str">
            <v>Manager</v>
          </cell>
        </row>
        <row r="257">
          <cell r="B257">
            <v>133086</v>
          </cell>
          <cell r="C257" t="str">
            <v>AFBL(2)-048</v>
          </cell>
          <cell r="D257" t="str">
            <v>Md. Sohel Rana</v>
          </cell>
          <cell r="E257">
            <v>133086</v>
          </cell>
          <cell r="F257" t="str">
            <v>Marketing Resource</v>
          </cell>
          <cell r="G257" t="str">
            <v>Junior Executive</v>
          </cell>
        </row>
        <row r="258">
          <cell r="B258">
            <v>133203</v>
          </cell>
          <cell r="C258" t="str">
            <v>FR1253</v>
          </cell>
          <cell r="D258" t="str">
            <v>Md. Pail Hassan</v>
          </cell>
          <cell r="E258">
            <v>133203</v>
          </cell>
          <cell r="F258" t="str">
            <v>Windsore</v>
          </cell>
          <cell r="G258" t="str">
            <v>Executive</v>
          </cell>
        </row>
        <row r="259">
          <cell r="B259">
            <v>133212</v>
          </cell>
          <cell r="C259" t="str">
            <v>AFBL(2)-010</v>
          </cell>
          <cell r="D259" t="str">
            <v>Md. Nazrul Islam</v>
          </cell>
          <cell r="E259">
            <v>133212</v>
          </cell>
          <cell r="F259" t="str">
            <v>Store</v>
          </cell>
          <cell r="G259" t="str">
            <v>Assistant Manager</v>
          </cell>
        </row>
        <row r="260">
          <cell r="B260">
            <v>133231</v>
          </cell>
          <cell r="C260" t="str">
            <v>AFBL(2)-061</v>
          </cell>
          <cell r="D260" t="str">
            <v>Md. Shajahan Ali</v>
          </cell>
          <cell r="E260">
            <v>133231</v>
          </cell>
          <cell r="F260" t="str">
            <v xml:space="preserve">Power </v>
          </cell>
          <cell r="G260" t="str">
            <v>Engineer</v>
          </cell>
        </row>
        <row r="261">
          <cell r="B261">
            <v>133286</v>
          </cell>
          <cell r="C261" t="str">
            <v>R988</v>
          </cell>
          <cell r="D261" t="str">
            <v>Md. Sajjad Hossen</v>
          </cell>
          <cell r="E261">
            <v>133286</v>
          </cell>
          <cell r="F261" t="str">
            <v>Transport</v>
          </cell>
          <cell r="G261" t="str">
            <v>Senior Executive</v>
          </cell>
        </row>
        <row r="262">
          <cell r="B262">
            <v>133415</v>
          </cell>
          <cell r="C262" t="str">
            <v>FR1260</v>
          </cell>
          <cell r="D262" t="str">
            <v xml:space="preserve">Md. Kamruzzaman </v>
          </cell>
          <cell r="E262">
            <v>133415</v>
          </cell>
          <cell r="F262" t="str">
            <v>Mechanical</v>
          </cell>
          <cell r="G262" t="str">
            <v>Senior Engineer</v>
          </cell>
        </row>
        <row r="263">
          <cell r="B263">
            <v>133416</v>
          </cell>
          <cell r="C263" t="str">
            <v>AFBL(2)-067</v>
          </cell>
          <cell r="D263" t="str">
            <v>Azgar Ali</v>
          </cell>
          <cell r="E263">
            <v>133416</v>
          </cell>
          <cell r="F263" t="str">
            <v>Electrical</v>
          </cell>
          <cell r="G263" t="str">
            <v>Senior Engineer</v>
          </cell>
        </row>
        <row r="264">
          <cell r="B264">
            <v>149486</v>
          </cell>
          <cell r="C264" t="str">
            <v>AFBL(Marketing)-1640</v>
          </cell>
          <cell r="D264" t="str">
            <v>Md. Abdus Salam</v>
          </cell>
          <cell r="E264">
            <v>149486</v>
          </cell>
          <cell r="F264" t="str">
            <v>Sales &amp; Marketing</v>
          </cell>
          <cell r="G264" t="str">
            <v>Territory Sales Manager</v>
          </cell>
        </row>
        <row r="265">
          <cell r="B265">
            <v>149549</v>
          </cell>
          <cell r="C265" t="str">
            <v>AFBL(Marketing)-1699</v>
          </cell>
          <cell r="D265" t="str">
            <v>Delwar Hossain</v>
          </cell>
          <cell r="E265">
            <v>149549</v>
          </cell>
          <cell r="F265" t="str">
            <v>Sales &amp; Marketing</v>
          </cell>
          <cell r="G265" t="str">
            <v>Territory Sales Manager</v>
          </cell>
        </row>
        <row r="266">
          <cell r="B266">
            <v>149709</v>
          </cell>
          <cell r="C266" t="str">
            <v>AFBL(Marketing)-1749</v>
          </cell>
          <cell r="D266" t="str">
            <v>Atikur Rahman</v>
          </cell>
          <cell r="E266">
            <v>149709</v>
          </cell>
          <cell r="F266" t="str">
            <v>Sales &amp; Marketing</v>
          </cell>
          <cell r="G266" t="str">
            <v>Territory Sales Manager</v>
          </cell>
        </row>
        <row r="267">
          <cell r="B267">
            <v>149711</v>
          </cell>
          <cell r="C267" t="str">
            <v>AFBL(Marketing)-1720</v>
          </cell>
          <cell r="D267" t="str">
            <v>Md. Sohel Rana</v>
          </cell>
          <cell r="E267">
            <v>149711</v>
          </cell>
          <cell r="F267" t="str">
            <v>Sales &amp; Marketing</v>
          </cell>
          <cell r="G267" t="str">
            <v>Area Sales Manager</v>
          </cell>
        </row>
        <row r="268">
          <cell r="B268">
            <v>153363</v>
          </cell>
          <cell r="C268" t="str">
            <v>AFBL(Marketing)-1788</v>
          </cell>
          <cell r="D268" t="str">
            <v>Sekender Badsha</v>
          </cell>
          <cell r="E268">
            <v>153363</v>
          </cell>
          <cell r="F268" t="str">
            <v>Sales &amp; Marketing</v>
          </cell>
          <cell r="G268" t="str">
            <v>Area Sales Manager</v>
          </cell>
        </row>
        <row r="269">
          <cell r="B269">
            <v>153372</v>
          </cell>
          <cell r="C269" t="str">
            <v>AFBL(Marketing)-1816</v>
          </cell>
          <cell r="D269" t="str">
            <v>Monsur Rahaman</v>
          </cell>
          <cell r="E269">
            <v>153372</v>
          </cell>
          <cell r="F269" t="str">
            <v>Outdoor Management</v>
          </cell>
          <cell r="G269" t="str">
            <v>Assistant Manager</v>
          </cell>
        </row>
        <row r="270">
          <cell r="B270">
            <v>153376</v>
          </cell>
          <cell r="C270" t="str">
            <v>AFBL(Marketing)-1823</v>
          </cell>
          <cell r="D270" t="str">
            <v>Md. Atiqur Rahaman</v>
          </cell>
          <cell r="E270">
            <v>153376</v>
          </cell>
          <cell r="F270" t="str">
            <v>Sales &amp; Marketing</v>
          </cell>
          <cell r="G270" t="str">
            <v>Area Sales Manager</v>
          </cell>
        </row>
        <row r="271">
          <cell r="B271">
            <v>153381</v>
          </cell>
          <cell r="C271" t="str">
            <v>AFBL(Marketing)-1811</v>
          </cell>
          <cell r="D271" t="str">
            <v>Shamim Hossain</v>
          </cell>
          <cell r="E271">
            <v>153381</v>
          </cell>
          <cell r="F271" t="str">
            <v>Sales &amp; Marketing</v>
          </cell>
          <cell r="G271" t="str">
            <v>Area Sales Manager</v>
          </cell>
        </row>
        <row r="272">
          <cell r="B272">
            <v>153384</v>
          </cell>
          <cell r="C272" t="str">
            <v>AFBL(Marketing)-1801</v>
          </cell>
          <cell r="D272" t="str">
            <v>Md. Shariful Islam</v>
          </cell>
          <cell r="E272">
            <v>153384</v>
          </cell>
          <cell r="F272" t="str">
            <v>Sales &amp; Marketing</v>
          </cell>
          <cell r="G272" t="str">
            <v>Area Sales Manager</v>
          </cell>
        </row>
        <row r="273">
          <cell r="B273">
            <v>153386</v>
          </cell>
          <cell r="C273" t="str">
            <v>AFBL(Marketing)-1802</v>
          </cell>
          <cell r="D273" t="str">
            <v>Sohel Rana</v>
          </cell>
          <cell r="E273">
            <v>153386</v>
          </cell>
          <cell r="F273" t="str">
            <v>Sales &amp; Marketing</v>
          </cell>
          <cell r="G273" t="str">
            <v>Territory Sales Manager</v>
          </cell>
        </row>
        <row r="274">
          <cell r="B274">
            <v>153754</v>
          </cell>
          <cell r="C274" t="str">
            <v>FR1268</v>
          </cell>
          <cell r="D274" t="str">
            <v>Shankar Chandra Roy</v>
          </cell>
          <cell r="E274">
            <v>153754</v>
          </cell>
          <cell r="F274" t="str">
            <v>Vat Department</v>
          </cell>
          <cell r="G274" t="str">
            <v>Senior Executive</v>
          </cell>
        </row>
        <row r="275">
          <cell r="B275">
            <v>154060</v>
          </cell>
          <cell r="C275" t="str">
            <v>AFBL(Marketing)-1855</v>
          </cell>
          <cell r="D275" t="str">
            <v>Moqbul Hossain</v>
          </cell>
          <cell r="E275">
            <v>154060</v>
          </cell>
          <cell r="F275" t="str">
            <v>Sales &amp; Marketing</v>
          </cell>
          <cell r="G275" t="str">
            <v>Territory Sales Manager</v>
          </cell>
        </row>
        <row r="276">
          <cell r="B276">
            <v>154460</v>
          </cell>
          <cell r="C276" t="str">
            <v>R1011</v>
          </cell>
          <cell r="D276" t="str">
            <v>Md. Shourav Uddin</v>
          </cell>
          <cell r="E276">
            <v>154460</v>
          </cell>
          <cell r="F276" t="str">
            <v>Clemon Sports</v>
          </cell>
          <cell r="G276" t="str">
            <v>Assistant Manager</v>
          </cell>
        </row>
        <row r="277">
          <cell r="B277">
            <v>154525</v>
          </cell>
          <cell r="C277" t="str">
            <v>AFBL(Marketing)-1870</v>
          </cell>
          <cell r="D277" t="str">
            <v>Md. Sultanul Arafin</v>
          </cell>
          <cell r="E277">
            <v>154525</v>
          </cell>
          <cell r="F277" t="str">
            <v xml:space="preserve">Cooler Management </v>
          </cell>
          <cell r="G277" t="str">
            <v>Senior Executive</v>
          </cell>
        </row>
        <row r="278">
          <cell r="B278">
            <v>154827</v>
          </cell>
          <cell r="C278" t="str">
            <v>R1010</v>
          </cell>
          <cell r="D278" t="str">
            <v>Md. Hosney Mobarak Bappy</v>
          </cell>
          <cell r="E278">
            <v>154827</v>
          </cell>
          <cell r="F278" t="str">
            <v>HR</v>
          </cell>
          <cell r="G278" t="str">
            <v>Deputy Manager</v>
          </cell>
        </row>
        <row r="279">
          <cell r="B279">
            <v>155237</v>
          </cell>
          <cell r="C279" t="str">
            <v>AFBL(Marketing)-1875</v>
          </cell>
          <cell r="D279" t="str">
            <v>Md. Rajaul Karim</v>
          </cell>
          <cell r="E279">
            <v>155237</v>
          </cell>
          <cell r="F279" t="str">
            <v>Sales &amp; Marketing</v>
          </cell>
          <cell r="G279" t="str">
            <v>Assistant General Manager</v>
          </cell>
        </row>
        <row r="280">
          <cell r="B280">
            <v>155258</v>
          </cell>
          <cell r="C280" t="str">
            <v>R1017</v>
          </cell>
          <cell r="D280" t="str">
            <v>Abdul Aziz</v>
          </cell>
          <cell r="E280">
            <v>155258</v>
          </cell>
          <cell r="F280" t="str">
            <v>Brand</v>
          </cell>
          <cell r="G280" t="str">
            <v>Senior Manager</v>
          </cell>
        </row>
        <row r="281">
          <cell r="B281">
            <v>156658</v>
          </cell>
          <cell r="C281" t="str">
            <v>FR1333</v>
          </cell>
          <cell r="D281" t="str">
            <v>Md. Mizanur Rahman</v>
          </cell>
          <cell r="E281">
            <v>156658</v>
          </cell>
          <cell r="F281" t="str">
            <v>Mechanical</v>
          </cell>
          <cell r="G281" t="str">
            <v>Senior Engineer</v>
          </cell>
        </row>
        <row r="282">
          <cell r="B282">
            <v>156664</v>
          </cell>
          <cell r="C282" t="str">
            <v>FR1334</v>
          </cell>
          <cell r="D282" t="str">
            <v>Md. Moazzam Hossain</v>
          </cell>
          <cell r="E282">
            <v>156664</v>
          </cell>
          <cell r="F282" t="str">
            <v>Drinking Water Plant</v>
          </cell>
          <cell r="G282" t="str">
            <v>Senior Executive</v>
          </cell>
        </row>
        <row r="283">
          <cell r="B283">
            <v>156784</v>
          </cell>
          <cell r="C283" t="str">
            <v>FR1336</v>
          </cell>
          <cell r="D283" t="str">
            <v>Md. Shamim Reza</v>
          </cell>
          <cell r="E283">
            <v>156784</v>
          </cell>
          <cell r="F283" t="str">
            <v>Mechanical</v>
          </cell>
          <cell r="G283" t="str">
            <v>Senior Engineer</v>
          </cell>
        </row>
        <row r="284">
          <cell r="B284">
            <v>168027</v>
          </cell>
          <cell r="C284" t="str">
            <v>FR1356</v>
          </cell>
          <cell r="D284" t="str">
            <v>Md. Majibul Haque Molla</v>
          </cell>
          <cell r="E284">
            <v>168027</v>
          </cell>
          <cell r="F284" t="str">
            <v>Distribution</v>
          </cell>
          <cell r="G284" t="str">
            <v>Junior Executive</v>
          </cell>
        </row>
        <row r="285">
          <cell r="B285">
            <v>168069</v>
          </cell>
          <cell r="C285" t="str">
            <v>FR1357</v>
          </cell>
          <cell r="D285" t="str">
            <v>Md. Sujan Ali Tushar</v>
          </cell>
          <cell r="E285">
            <v>168069</v>
          </cell>
          <cell r="F285" t="str">
            <v>CSD</v>
          </cell>
          <cell r="G285" t="str">
            <v>Senior Executive</v>
          </cell>
        </row>
        <row r="286">
          <cell r="B286">
            <v>170378</v>
          </cell>
          <cell r="C286" t="str">
            <v>FR1364</v>
          </cell>
          <cell r="D286" t="str">
            <v>Md. Ariful Islam</v>
          </cell>
          <cell r="E286">
            <v>170378</v>
          </cell>
          <cell r="F286" t="str">
            <v>Store</v>
          </cell>
          <cell r="G286" t="str">
            <v>Assistant General Manager</v>
          </cell>
        </row>
        <row r="287">
          <cell r="B287">
            <v>170529</v>
          </cell>
          <cell r="C287" t="str">
            <v>AFBL(Marketing)-1904</v>
          </cell>
          <cell r="D287" t="str">
            <v>Md. Akram Ali Titu</v>
          </cell>
          <cell r="E287">
            <v>170529</v>
          </cell>
          <cell r="F287" t="str">
            <v>Sales &amp; Marketing</v>
          </cell>
          <cell r="G287" t="str">
            <v>Regional Sales Manager</v>
          </cell>
        </row>
        <row r="288">
          <cell r="B288">
            <v>170898</v>
          </cell>
          <cell r="C288" t="str">
            <v>FR1375</v>
          </cell>
          <cell r="D288" t="str">
            <v>Md. Nurul Islam</v>
          </cell>
          <cell r="E288">
            <v>170898</v>
          </cell>
          <cell r="F288" t="str">
            <v>Transport</v>
          </cell>
          <cell r="G288" t="str">
            <v>Assistant Manager</v>
          </cell>
        </row>
        <row r="289">
          <cell r="B289">
            <v>170930</v>
          </cell>
          <cell r="C289" t="str">
            <v>AFBL(Marketing)-1909</v>
          </cell>
          <cell r="D289" t="str">
            <v>Md. Joynal Abedin</v>
          </cell>
          <cell r="E289">
            <v>170930</v>
          </cell>
          <cell r="F289" t="str">
            <v>Sales &amp; Marketing</v>
          </cell>
          <cell r="G289" t="str">
            <v>Territory Sales Manager</v>
          </cell>
        </row>
        <row r="290">
          <cell r="B290">
            <v>170958</v>
          </cell>
          <cell r="C290" t="str">
            <v>AFBL(Marketing)-1932</v>
          </cell>
          <cell r="D290" t="str">
            <v>Md. Anowarul Momen</v>
          </cell>
          <cell r="E290">
            <v>170958</v>
          </cell>
          <cell r="F290" t="str">
            <v>Sales &amp; Marketing</v>
          </cell>
          <cell r="G290" t="str">
            <v>Area Sales Manager</v>
          </cell>
        </row>
        <row r="291">
          <cell r="B291">
            <v>173782</v>
          </cell>
          <cell r="C291" t="str">
            <v>FR1407</v>
          </cell>
          <cell r="D291" t="str">
            <v>Md. Adam Hossain</v>
          </cell>
          <cell r="E291">
            <v>173782</v>
          </cell>
          <cell r="F291" t="str">
            <v>Mechanical</v>
          </cell>
          <cell r="G291" t="str">
            <v>Engineer</v>
          </cell>
        </row>
        <row r="292">
          <cell r="B292">
            <v>175056</v>
          </cell>
          <cell r="C292" t="str">
            <v>AFBL(Marketing)-2000</v>
          </cell>
          <cell r="D292" t="str">
            <v>Ashaduzzaman</v>
          </cell>
          <cell r="E292">
            <v>175056</v>
          </cell>
          <cell r="F292" t="str">
            <v>Sales &amp; Marketing</v>
          </cell>
          <cell r="G292" t="str">
            <v>Territory Sales Manager</v>
          </cell>
        </row>
        <row r="293">
          <cell r="B293">
            <v>176329</v>
          </cell>
          <cell r="C293" t="str">
            <v>AFBL(Marketing)-2025</v>
          </cell>
          <cell r="D293" t="str">
            <v>Asraful Haq Apu</v>
          </cell>
          <cell r="E293">
            <v>176329</v>
          </cell>
          <cell r="F293" t="str">
            <v>Accounts And Finance</v>
          </cell>
          <cell r="G293" t="str">
            <v>Executive</v>
          </cell>
        </row>
        <row r="294">
          <cell r="B294">
            <v>176500</v>
          </cell>
          <cell r="C294" t="str">
            <v>AFBL(Marketing)-2029</v>
          </cell>
          <cell r="D294" t="str">
            <v>Md. Razib Ahsan Akanda</v>
          </cell>
          <cell r="E294">
            <v>176500</v>
          </cell>
          <cell r="F294" t="str">
            <v>Sales &amp; Marketing</v>
          </cell>
          <cell r="G294" t="str">
            <v>Sales Manager</v>
          </cell>
        </row>
        <row r="295">
          <cell r="B295">
            <v>176683</v>
          </cell>
          <cell r="C295" t="str">
            <v>Fc4154</v>
          </cell>
          <cell r="D295" t="str">
            <v>Md. Nazmul Islam</v>
          </cell>
          <cell r="E295">
            <v>176683</v>
          </cell>
          <cell r="F295" t="str">
            <v>Quality Control</v>
          </cell>
          <cell r="G295" t="str">
            <v>Junior Executive</v>
          </cell>
        </row>
        <row r="296">
          <cell r="B296">
            <v>178238</v>
          </cell>
          <cell r="C296" t="str">
            <v>R1038</v>
          </cell>
          <cell r="D296" t="str">
            <v>Md. Abdullah</v>
          </cell>
          <cell r="E296">
            <v>178238</v>
          </cell>
          <cell r="F296" t="str">
            <v>Internal Audit &amp; Compliance</v>
          </cell>
          <cell r="G296" t="str">
            <v>Senior Executive</v>
          </cell>
        </row>
        <row r="297">
          <cell r="B297">
            <v>178239</v>
          </cell>
          <cell r="C297" t="str">
            <v>R1039</v>
          </cell>
          <cell r="D297" t="str">
            <v>Jagonnath Roy</v>
          </cell>
          <cell r="E297">
            <v>178239</v>
          </cell>
          <cell r="F297" t="str">
            <v>Internal Audit &amp; Compliance</v>
          </cell>
          <cell r="G297" t="str">
            <v>Assistant Manager</v>
          </cell>
        </row>
        <row r="298">
          <cell r="B298">
            <v>178249</v>
          </cell>
          <cell r="C298" t="str">
            <v>AFBL(Marketing)-2094</v>
          </cell>
          <cell r="D298" t="str">
            <v>Habibullah Mesbah</v>
          </cell>
          <cell r="E298">
            <v>178249</v>
          </cell>
          <cell r="F298" t="str">
            <v>Sales &amp; Marketing</v>
          </cell>
          <cell r="G298" t="str">
            <v>Territory Sales Manager</v>
          </cell>
        </row>
        <row r="299">
          <cell r="B299">
            <v>178419</v>
          </cell>
          <cell r="C299" t="str">
            <v>FR1455</v>
          </cell>
          <cell r="D299" t="str">
            <v>Abu Halim Sabuj</v>
          </cell>
          <cell r="E299">
            <v>178419</v>
          </cell>
          <cell r="F299" t="str">
            <v>Mechanical</v>
          </cell>
          <cell r="G299" t="str">
            <v>Engineer</v>
          </cell>
        </row>
        <row r="300">
          <cell r="B300">
            <v>178556</v>
          </cell>
          <cell r="C300" t="str">
            <v>FR1459</v>
          </cell>
          <cell r="D300" t="str">
            <v>Md. Shahadur Rahaman</v>
          </cell>
          <cell r="E300">
            <v>178556</v>
          </cell>
          <cell r="F300" t="str">
            <v>Electrical</v>
          </cell>
          <cell r="G300" t="str">
            <v>Senior Engineer</v>
          </cell>
        </row>
        <row r="301">
          <cell r="B301">
            <v>178560</v>
          </cell>
          <cell r="C301" t="str">
            <v>FR1458</v>
          </cell>
          <cell r="D301" t="str">
            <v>Rezaul Karim</v>
          </cell>
          <cell r="E301">
            <v>178560</v>
          </cell>
          <cell r="F301" t="str">
            <v>HR</v>
          </cell>
          <cell r="G301" t="str">
            <v>Junior Executive</v>
          </cell>
        </row>
        <row r="302">
          <cell r="B302">
            <v>178784</v>
          </cell>
          <cell r="C302" t="str">
            <v>AFBL(Marketing)-2159</v>
          </cell>
          <cell r="D302" t="str">
            <v>Md. Omar Faruque</v>
          </cell>
          <cell r="E302">
            <v>178784</v>
          </cell>
          <cell r="F302" t="str">
            <v>Sales &amp; Marketing</v>
          </cell>
          <cell r="G302" t="str">
            <v>Sales Manager</v>
          </cell>
        </row>
        <row r="303">
          <cell r="B303">
            <v>178790</v>
          </cell>
          <cell r="C303" t="str">
            <v>FR1471</v>
          </cell>
          <cell r="D303" t="str">
            <v>Md. Nasir Uddin</v>
          </cell>
          <cell r="E303">
            <v>178790</v>
          </cell>
          <cell r="F303" t="str">
            <v>Purchase</v>
          </cell>
          <cell r="G303" t="str">
            <v>Assistant Manager</v>
          </cell>
        </row>
        <row r="304">
          <cell r="B304">
            <v>178820</v>
          </cell>
          <cell r="C304" t="str">
            <v>AFBL(Marketing)-2164</v>
          </cell>
          <cell r="D304" t="str">
            <v>Afiqur Rahman</v>
          </cell>
          <cell r="E304">
            <v>178820</v>
          </cell>
          <cell r="F304" t="str">
            <v>Accounts And Finance</v>
          </cell>
          <cell r="G304" t="str">
            <v>Executive</v>
          </cell>
        </row>
        <row r="305">
          <cell r="B305">
            <v>180954</v>
          </cell>
          <cell r="C305" t="str">
            <v>AFBL(Marketing)-2184</v>
          </cell>
          <cell r="D305" t="str">
            <v>Md. Moniruzzaman Molla</v>
          </cell>
          <cell r="E305">
            <v>180954</v>
          </cell>
          <cell r="F305" t="str">
            <v>Sales &amp; Marketing</v>
          </cell>
          <cell r="G305" t="str">
            <v>Area Sales Manager</v>
          </cell>
        </row>
        <row r="306">
          <cell r="B306">
            <v>181229</v>
          </cell>
          <cell r="C306" t="str">
            <v>AFBL(Marketing)-2193</v>
          </cell>
          <cell r="D306" t="str">
            <v>Md. Aliar Rahman</v>
          </cell>
          <cell r="E306">
            <v>181229</v>
          </cell>
          <cell r="F306" t="str">
            <v>Sales &amp; Marketing</v>
          </cell>
          <cell r="G306" t="str">
            <v>Territory Sales Manager</v>
          </cell>
        </row>
        <row r="307">
          <cell r="B307">
            <v>181234</v>
          </cell>
          <cell r="C307" t="str">
            <v>AFBL(Marketing)-2195</v>
          </cell>
          <cell r="D307" t="str">
            <v xml:space="preserve">Magfur Rahman </v>
          </cell>
          <cell r="E307">
            <v>181234</v>
          </cell>
          <cell r="F307" t="str">
            <v>Export</v>
          </cell>
          <cell r="G307" t="str">
            <v>Senior SDM</v>
          </cell>
        </row>
        <row r="308">
          <cell r="B308">
            <v>186531</v>
          </cell>
          <cell r="C308" t="str">
            <v>AFBL(Marketing)-2217</v>
          </cell>
          <cell r="D308" t="str">
            <v>Md. Moshiur Rahman</v>
          </cell>
          <cell r="E308">
            <v>186531</v>
          </cell>
          <cell r="F308" t="str">
            <v>Sales &amp; Marketing</v>
          </cell>
          <cell r="G308" t="str">
            <v>Territory Sales Manager</v>
          </cell>
        </row>
        <row r="309">
          <cell r="B309">
            <v>186547</v>
          </cell>
          <cell r="C309" t="str">
            <v>AFBL(Marketing)-2223</v>
          </cell>
          <cell r="D309" t="str">
            <v>Nur Hossain</v>
          </cell>
          <cell r="E309">
            <v>186547</v>
          </cell>
          <cell r="F309" t="str">
            <v>Sales &amp; Marketing</v>
          </cell>
          <cell r="G309" t="str">
            <v>Regional Sales Manager</v>
          </cell>
        </row>
        <row r="310">
          <cell r="B310">
            <v>188623</v>
          </cell>
          <cell r="C310" t="str">
            <v>FR1544</v>
          </cell>
          <cell r="D310" t="str">
            <v>Jannatul Ferdous</v>
          </cell>
          <cell r="E310">
            <v>188623</v>
          </cell>
          <cell r="F310" t="str">
            <v>Quality Control</v>
          </cell>
          <cell r="G310" t="str">
            <v>Senior Executive</v>
          </cell>
        </row>
        <row r="311">
          <cell r="B311">
            <v>189147</v>
          </cell>
          <cell r="C311" t="str">
            <v>AFBL(Marketing)-2242</v>
          </cell>
          <cell r="D311" t="str">
            <v>Abu Nur</v>
          </cell>
          <cell r="E311">
            <v>189147</v>
          </cell>
          <cell r="F311" t="str">
            <v>Sales &amp; Marketing</v>
          </cell>
          <cell r="G311" t="str">
            <v>Area Sales Manager</v>
          </cell>
        </row>
        <row r="312">
          <cell r="B312">
            <v>190270</v>
          </cell>
          <cell r="C312" t="str">
            <v>FR1550</v>
          </cell>
          <cell r="D312" t="str">
            <v>Azad Hossain</v>
          </cell>
          <cell r="E312">
            <v>190270</v>
          </cell>
          <cell r="F312" t="str">
            <v>Store</v>
          </cell>
          <cell r="G312" t="str">
            <v>Junior Executive</v>
          </cell>
        </row>
        <row r="313">
          <cell r="B313">
            <v>192877</v>
          </cell>
          <cell r="C313" t="str">
            <v>AFBL(Marketing)-2270</v>
          </cell>
          <cell r="D313" t="str">
            <v>Md. Nur Nobi</v>
          </cell>
          <cell r="E313">
            <v>192877</v>
          </cell>
          <cell r="F313" t="str">
            <v>Sales &amp; Marketing</v>
          </cell>
          <cell r="G313" t="str">
            <v>Territory Sales Manager</v>
          </cell>
        </row>
        <row r="314">
          <cell r="B314">
            <v>192969</v>
          </cell>
          <cell r="C314" t="str">
            <v>AFBL(Marketing)-2283</v>
          </cell>
          <cell r="D314" t="str">
            <v>Masiur Rahman</v>
          </cell>
          <cell r="E314">
            <v>192969</v>
          </cell>
          <cell r="F314" t="str">
            <v>Sales &amp; Marketing</v>
          </cell>
          <cell r="G314" t="str">
            <v>Territory Sales Manager</v>
          </cell>
        </row>
        <row r="315">
          <cell r="B315">
            <v>193550</v>
          </cell>
          <cell r="C315" t="str">
            <v>FR1566</v>
          </cell>
          <cell r="D315" t="str">
            <v>Imran Hossen</v>
          </cell>
          <cell r="E315">
            <v>193550</v>
          </cell>
          <cell r="F315" t="str">
            <v>CSD-7</v>
          </cell>
          <cell r="G315" t="str">
            <v>Assistant Engineer</v>
          </cell>
        </row>
        <row r="316">
          <cell r="B316">
            <v>193566</v>
          </cell>
          <cell r="C316" t="str">
            <v>afbl(2)-161</v>
          </cell>
          <cell r="D316" t="str">
            <v>Md.Kamrul Islam Sikder</v>
          </cell>
          <cell r="E316">
            <v>193566</v>
          </cell>
          <cell r="F316" t="str">
            <v>Store</v>
          </cell>
          <cell r="G316" t="str">
            <v>Assistant Manager</v>
          </cell>
        </row>
        <row r="317">
          <cell r="B317">
            <v>195281</v>
          </cell>
          <cell r="C317" t="str">
            <v>FR1582</v>
          </cell>
          <cell r="D317" t="str">
            <v>Md. Arif Hosen</v>
          </cell>
          <cell r="E317">
            <v>195281</v>
          </cell>
          <cell r="F317" t="str">
            <v>Transport</v>
          </cell>
          <cell r="G317" t="str">
            <v>Executive</v>
          </cell>
        </row>
        <row r="318">
          <cell r="B318">
            <v>195309</v>
          </cell>
          <cell r="C318" t="str">
            <v>R1074</v>
          </cell>
          <cell r="D318" t="str">
            <v>Md. Shakil Khan</v>
          </cell>
          <cell r="E318">
            <v>195309</v>
          </cell>
          <cell r="F318" t="str">
            <v>New Project &amp; Development</v>
          </cell>
          <cell r="G318" t="str">
            <v>Assistant Manager</v>
          </cell>
        </row>
        <row r="319">
          <cell r="B319">
            <v>197093</v>
          </cell>
          <cell r="C319" t="str">
            <v>FR1600</v>
          </cell>
          <cell r="D319" t="str">
            <v>Md. Ripon Miah</v>
          </cell>
          <cell r="E319">
            <v>197093</v>
          </cell>
          <cell r="F319" t="str">
            <v>Store</v>
          </cell>
          <cell r="G319" t="str">
            <v>Executive</v>
          </cell>
        </row>
        <row r="320">
          <cell r="B320">
            <v>197095</v>
          </cell>
          <cell r="C320" t="str">
            <v>FR1601</v>
          </cell>
          <cell r="D320" t="str">
            <v>Md. Mamun Al Kaiyum</v>
          </cell>
          <cell r="E320">
            <v>197095</v>
          </cell>
          <cell r="F320" t="str">
            <v>Store</v>
          </cell>
          <cell r="G320" t="str">
            <v>Executive</v>
          </cell>
        </row>
        <row r="321">
          <cell r="B321">
            <v>197104</v>
          </cell>
          <cell r="C321" t="str">
            <v>R1076</v>
          </cell>
          <cell r="D321" t="str">
            <v>Mohammad Emadul Haque</v>
          </cell>
          <cell r="E321">
            <v>197104</v>
          </cell>
          <cell r="F321" t="str">
            <v>HR</v>
          </cell>
          <cell r="G321" t="str">
            <v>Deputy General Manager</v>
          </cell>
        </row>
        <row r="322">
          <cell r="B322">
            <v>198840</v>
          </cell>
          <cell r="C322" t="str">
            <v>AFBL(Marketing)-2330</v>
          </cell>
          <cell r="D322" t="str">
            <v>Md. Mehady Hasan</v>
          </cell>
          <cell r="E322">
            <v>198840</v>
          </cell>
          <cell r="F322" t="str">
            <v>Sales &amp; Marketing</v>
          </cell>
          <cell r="G322" t="str">
            <v>Territory Sales Manager</v>
          </cell>
        </row>
        <row r="323">
          <cell r="B323">
            <v>199106</v>
          </cell>
          <cell r="C323" t="str">
            <v>FR1618</v>
          </cell>
          <cell r="D323" t="str">
            <v>Md. Billal Khan</v>
          </cell>
          <cell r="E323">
            <v>199106</v>
          </cell>
          <cell r="F323" t="str">
            <v>Quality Control</v>
          </cell>
          <cell r="G323" t="str">
            <v>Senior Executive</v>
          </cell>
        </row>
        <row r="324">
          <cell r="B324">
            <v>199116</v>
          </cell>
          <cell r="C324" t="str">
            <v>FR1619</v>
          </cell>
          <cell r="D324" t="str">
            <v>Arafat Hossain</v>
          </cell>
          <cell r="E324">
            <v>199116</v>
          </cell>
          <cell r="F324" t="str">
            <v>Quality Control</v>
          </cell>
          <cell r="G324" t="str">
            <v>Executive</v>
          </cell>
        </row>
        <row r="325">
          <cell r="B325">
            <v>199118</v>
          </cell>
          <cell r="C325" t="str">
            <v>FR1620</v>
          </cell>
          <cell r="D325" t="str">
            <v>Md. Sanwarul Hossain</v>
          </cell>
          <cell r="E325">
            <v>199118</v>
          </cell>
          <cell r="F325" t="str">
            <v>Quality Control</v>
          </cell>
          <cell r="G325" t="str">
            <v>Executive</v>
          </cell>
        </row>
        <row r="326">
          <cell r="B326">
            <v>199121</v>
          </cell>
          <cell r="C326" t="str">
            <v>FR1622</v>
          </cell>
          <cell r="D326" t="str">
            <v>Kamalesh Mondal</v>
          </cell>
          <cell r="E326">
            <v>199121</v>
          </cell>
          <cell r="F326" t="str">
            <v>Quality Control</v>
          </cell>
          <cell r="G326" t="str">
            <v>Executive</v>
          </cell>
        </row>
        <row r="327">
          <cell r="B327">
            <v>200034</v>
          </cell>
          <cell r="C327" t="str">
            <v>FR1632</v>
          </cell>
          <cell r="D327" t="str">
            <v>Md. Jamal Hosen</v>
          </cell>
          <cell r="E327">
            <v>200034</v>
          </cell>
          <cell r="F327" t="str">
            <v>Quality Control</v>
          </cell>
          <cell r="G327" t="str">
            <v>Senior Executive</v>
          </cell>
        </row>
        <row r="328">
          <cell r="B328">
            <v>200384</v>
          </cell>
          <cell r="C328" t="str">
            <v>AFBL(Marketing)-2339</v>
          </cell>
          <cell r="D328" t="str">
            <v>Md Iqbal Hosaen</v>
          </cell>
          <cell r="E328">
            <v>200384</v>
          </cell>
          <cell r="F328" t="str">
            <v>Sales &amp; Marketing</v>
          </cell>
          <cell r="G328" t="str">
            <v>Area Sales Manager</v>
          </cell>
        </row>
        <row r="329">
          <cell r="B329">
            <v>200401</v>
          </cell>
          <cell r="C329" t="str">
            <v>AFBL(Marketing)-2347</v>
          </cell>
          <cell r="D329" t="str">
            <v>Md. Asafur Rahman</v>
          </cell>
          <cell r="E329">
            <v>200401</v>
          </cell>
          <cell r="F329" t="str">
            <v>Sales &amp; Marketing</v>
          </cell>
          <cell r="G329" t="str">
            <v>Area Sales Manager</v>
          </cell>
        </row>
        <row r="330">
          <cell r="B330">
            <v>201154</v>
          </cell>
          <cell r="C330" t="str">
            <v>AFBL(Marketing)-2354</v>
          </cell>
          <cell r="D330" t="str">
            <v>Mostaq Ahmed</v>
          </cell>
          <cell r="E330">
            <v>201154</v>
          </cell>
          <cell r="F330" t="str">
            <v>Sales &amp; Marketing</v>
          </cell>
          <cell r="G330" t="str">
            <v>Regional Sales Manager</v>
          </cell>
        </row>
        <row r="331">
          <cell r="B331">
            <v>201403</v>
          </cell>
          <cell r="C331" t="str">
            <v>AFBL(Marketing)-2358</v>
          </cell>
          <cell r="D331" t="str">
            <v>Nasir Uddin</v>
          </cell>
          <cell r="E331">
            <v>201403</v>
          </cell>
          <cell r="F331" t="str">
            <v>Outdoor Management</v>
          </cell>
          <cell r="G331" t="str">
            <v>Executive</v>
          </cell>
        </row>
        <row r="332">
          <cell r="B332">
            <v>201504</v>
          </cell>
          <cell r="C332" t="str">
            <v>AFBL(Marketing)-2360</v>
          </cell>
          <cell r="D332" t="str">
            <v>Sk. Abdus Sattar Shohag</v>
          </cell>
          <cell r="E332">
            <v>201504</v>
          </cell>
          <cell r="F332" t="str">
            <v>Distribution</v>
          </cell>
          <cell r="G332" t="str">
            <v>Junior Executive</v>
          </cell>
        </row>
        <row r="333">
          <cell r="B333">
            <v>203848</v>
          </cell>
          <cell r="C333" t="str">
            <v>AFBL(Marketing)-2366</v>
          </cell>
          <cell r="D333" t="str">
            <v xml:space="preserve">M M Shafiqul Islam </v>
          </cell>
          <cell r="E333">
            <v>203848</v>
          </cell>
          <cell r="F333" t="str">
            <v>Sales &amp; Marketing</v>
          </cell>
          <cell r="G333" t="str">
            <v>Regional Sales Manager</v>
          </cell>
        </row>
        <row r="334">
          <cell r="B334">
            <v>203921</v>
          </cell>
          <cell r="C334" t="str">
            <v>AFBL(Marketing)-2377</v>
          </cell>
          <cell r="D334" t="str">
            <v>Md. Abu Sayed Chowdhury</v>
          </cell>
          <cell r="E334">
            <v>203921</v>
          </cell>
          <cell r="F334" t="str">
            <v>Institutional Sales</v>
          </cell>
          <cell r="G334" t="str">
            <v>Assistant General Manager</v>
          </cell>
        </row>
        <row r="335">
          <cell r="B335">
            <v>204446</v>
          </cell>
          <cell r="C335" t="str">
            <v>AFBL(Marketing)-2386</v>
          </cell>
          <cell r="D335" t="str">
            <v>Samim Molla</v>
          </cell>
          <cell r="E335">
            <v>204446</v>
          </cell>
          <cell r="F335" t="str">
            <v>Sales &amp; Marketing</v>
          </cell>
          <cell r="G335" t="str">
            <v>Territory Sales Manager</v>
          </cell>
        </row>
        <row r="336">
          <cell r="B336">
            <v>205042</v>
          </cell>
          <cell r="C336" t="str">
            <v>AFBL(Marketing)-2394</v>
          </cell>
          <cell r="D336" t="str">
            <v>Md. Shanawaz Hossain</v>
          </cell>
          <cell r="E336">
            <v>205042</v>
          </cell>
          <cell r="F336" t="str">
            <v>Sales &amp; Marketing</v>
          </cell>
          <cell r="G336" t="str">
            <v>Deputy General Manager</v>
          </cell>
        </row>
        <row r="337">
          <cell r="B337">
            <v>217919</v>
          </cell>
          <cell r="C337" t="str">
            <v>AFBL(Marketing)-2437</v>
          </cell>
          <cell r="D337" t="str">
            <v>Aktaruzzaman</v>
          </cell>
          <cell r="E337">
            <v>217919</v>
          </cell>
          <cell r="F337" t="str">
            <v>Sales &amp; Marketing</v>
          </cell>
          <cell r="G337" t="str">
            <v>Area Sales Manager</v>
          </cell>
        </row>
        <row r="338">
          <cell r="B338">
            <v>217920</v>
          </cell>
          <cell r="C338" t="str">
            <v>AFBL(Marketing)-2438</v>
          </cell>
          <cell r="D338" t="str">
            <v>Shah Nurul Alam</v>
          </cell>
          <cell r="E338">
            <v>217920</v>
          </cell>
          <cell r="F338" t="str">
            <v>Sales &amp; Marketing</v>
          </cell>
          <cell r="G338" t="str">
            <v>Area Sales Manager</v>
          </cell>
        </row>
        <row r="339">
          <cell r="B339">
            <v>226137</v>
          </cell>
          <cell r="C339" t="str">
            <v>FR1711</v>
          </cell>
          <cell r="D339" t="str">
            <v>Md. Atikur Rahaman</v>
          </cell>
          <cell r="E339">
            <v>226137</v>
          </cell>
          <cell r="F339" t="str">
            <v>Quality Control</v>
          </cell>
          <cell r="G339" t="str">
            <v>Assistant Manager</v>
          </cell>
        </row>
        <row r="340">
          <cell r="B340">
            <v>226143</v>
          </cell>
          <cell r="C340" t="str">
            <v>FR1713</v>
          </cell>
          <cell r="D340" t="str">
            <v>Md. Sumon Ali Mollik</v>
          </cell>
          <cell r="E340">
            <v>226143</v>
          </cell>
          <cell r="F340" t="str">
            <v>CSD</v>
          </cell>
          <cell r="G340" t="str">
            <v>Senior Executive</v>
          </cell>
        </row>
        <row r="341">
          <cell r="B341">
            <v>226470</v>
          </cell>
          <cell r="C341" t="str">
            <v>FR1717</v>
          </cell>
          <cell r="D341" t="str">
            <v>Md. Anamul Islam Khan</v>
          </cell>
          <cell r="E341">
            <v>226470</v>
          </cell>
          <cell r="F341" t="str">
            <v>Quality Control</v>
          </cell>
          <cell r="G341" t="str">
            <v>Senior Executive</v>
          </cell>
        </row>
        <row r="342">
          <cell r="B342">
            <v>226583</v>
          </cell>
          <cell r="C342" t="str">
            <v>afbl(2)-213</v>
          </cell>
          <cell r="D342" t="str">
            <v>Md. Delwar Hossain</v>
          </cell>
          <cell r="E342">
            <v>226583</v>
          </cell>
          <cell r="F342" t="str">
            <v>Store</v>
          </cell>
          <cell r="G342" t="str">
            <v>Executive</v>
          </cell>
        </row>
        <row r="343">
          <cell r="B343">
            <v>226946</v>
          </cell>
          <cell r="C343" t="str">
            <v>FR1719</v>
          </cell>
          <cell r="D343" t="str">
            <v>Md. Mosfiqur Rahman Khan</v>
          </cell>
          <cell r="E343">
            <v>226946</v>
          </cell>
          <cell r="F343" t="str">
            <v>Quality Control</v>
          </cell>
          <cell r="G343" t="str">
            <v>Senior Executive</v>
          </cell>
        </row>
        <row r="344">
          <cell r="B344">
            <v>227098</v>
          </cell>
          <cell r="C344" t="str">
            <v>afbl(2)-216</v>
          </cell>
          <cell r="D344" t="str">
            <v xml:space="preserve">Md.Rahat Mahmud </v>
          </cell>
          <cell r="E344">
            <v>227098</v>
          </cell>
          <cell r="F344" t="str">
            <v>Store</v>
          </cell>
          <cell r="G344" t="str">
            <v>Junior Executive</v>
          </cell>
        </row>
        <row r="345">
          <cell r="B345">
            <v>227135</v>
          </cell>
          <cell r="C345" t="str">
            <v>FR1720</v>
          </cell>
          <cell r="D345" t="str">
            <v>Uttom Kumar</v>
          </cell>
          <cell r="E345">
            <v>227135</v>
          </cell>
          <cell r="F345" t="str">
            <v>Store</v>
          </cell>
          <cell r="G345" t="str">
            <v>Senior Executive</v>
          </cell>
        </row>
        <row r="346">
          <cell r="B346">
            <v>227537</v>
          </cell>
          <cell r="C346" t="str">
            <v>AFBL(Marketing)-2492</v>
          </cell>
          <cell r="D346" t="str">
            <v>Md. Azizur Rahman</v>
          </cell>
          <cell r="E346">
            <v>227537</v>
          </cell>
          <cell r="F346" t="str">
            <v>Sales &amp; Marketing</v>
          </cell>
          <cell r="G346" t="str">
            <v>Senior Territory Sales Manager</v>
          </cell>
        </row>
        <row r="347">
          <cell r="B347">
            <v>229505</v>
          </cell>
          <cell r="C347" t="str">
            <v>R1259</v>
          </cell>
          <cell r="D347" t="str">
            <v>Mahfujur Rahman</v>
          </cell>
          <cell r="E347">
            <v>229505</v>
          </cell>
          <cell r="F347" t="str">
            <v>Media Management</v>
          </cell>
          <cell r="G347" t="str">
            <v>Assistant Manager</v>
          </cell>
        </row>
        <row r="348">
          <cell r="B348">
            <v>230970</v>
          </cell>
          <cell r="C348" t="str">
            <v>AFBL(Marketing)-2536</v>
          </cell>
          <cell r="D348" t="str">
            <v>Md. Tajul Islam</v>
          </cell>
          <cell r="E348">
            <v>230970</v>
          </cell>
          <cell r="F348" t="str">
            <v>Sales &amp; Marketing</v>
          </cell>
          <cell r="G348" t="str">
            <v>Area Sales Manager</v>
          </cell>
        </row>
        <row r="349">
          <cell r="B349">
            <v>230971</v>
          </cell>
          <cell r="C349" t="str">
            <v>AFBL(Marketing)-2537</v>
          </cell>
          <cell r="D349" t="str">
            <v>Md. Razib Hossain</v>
          </cell>
          <cell r="E349">
            <v>230971</v>
          </cell>
          <cell r="F349" t="str">
            <v>Sales &amp; Marketing</v>
          </cell>
          <cell r="G349" t="str">
            <v>Area Sales Manager</v>
          </cell>
        </row>
        <row r="350">
          <cell r="B350">
            <v>231243</v>
          </cell>
          <cell r="C350" t="str">
            <v>FR1758</v>
          </cell>
          <cell r="D350" t="str">
            <v>Momtahena</v>
          </cell>
          <cell r="E350">
            <v>231243</v>
          </cell>
          <cell r="F350" t="str">
            <v>Quality Control</v>
          </cell>
          <cell r="G350" t="str">
            <v>Senior Microbiologist</v>
          </cell>
        </row>
        <row r="351">
          <cell r="B351">
            <v>231299</v>
          </cell>
          <cell r="C351" t="str">
            <v>FR1766</v>
          </cell>
          <cell r="D351" t="str">
            <v>Md. Saiful Islam</v>
          </cell>
          <cell r="E351">
            <v>231299</v>
          </cell>
          <cell r="F351" t="str">
            <v>Store</v>
          </cell>
          <cell r="G351" t="str">
            <v>Executive</v>
          </cell>
        </row>
        <row r="352">
          <cell r="B352">
            <v>231355</v>
          </cell>
          <cell r="C352" t="str">
            <v>AFBL(Marketing)-2539</v>
          </cell>
          <cell r="D352" t="str">
            <v>Md. Amzad Hossain</v>
          </cell>
          <cell r="E352">
            <v>231355</v>
          </cell>
          <cell r="F352" t="str">
            <v>Sales &amp; Marketing</v>
          </cell>
          <cell r="G352" t="str">
            <v>Area Sales Manager</v>
          </cell>
        </row>
        <row r="353">
          <cell r="B353">
            <v>232169</v>
          </cell>
          <cell r="C353" t="str">
            <v>AFBL(Marketing)-2546</v>
          </cell>
          <cell r="D353" t="str">
            <v xml:space="preserve">Kazi Milon Hossain </v>
          </cell>
          <cell r="E353">
            <v>232169</v>
          </cell>
          <cell r="F353" t="str">
            <v>Sales &amp; Marketing</v>
          </cell>
          <cell r="G353" t="str">
            <v>Area Sales Manager</v>
          </cell>
        </row>
        <row r="354">
          <cell r="B354">
            <v>232690</v>
          </cell>
          <cell r="C354" t="str">
            <v>FR1791</v>
          </cell>
          <cell r="D354" t="str">
            <v>Shekhar Mondal</v>
          </cell>
          <cell r="E354">
            <v>232690</v>
          </cell>
          <cell r="F354" t="str">
            <v>Snacks</v>
          </cell>
          <cell r="G354" t="str">
            <v>Senior Executive</v>
          </cell>
        </row>
        <row r="355">
          <cell r="B355">
            <v>233119</v>
          </cell>
          <cell r="C355" t="str">
            <v>FR1800</v>
          </cell>
          <cell r="D355" t="str">
            <v>Md. Asraful Mondol</v>
          </cell>
          <cell r="E355">
            <v>233119</v>
          </cell>
          <cell r="F355" t="str">
            <v>Snacks</v>
          </cell>
          <cell r="G355" t="str">
            <v>Senior Executive</v>
          </cell>
        </row>
        <row r="356">
          <cell r="B356">
            <v>239133</v>
          </cell>
          <cell r="C356" t="str">
            <v>FR1804</v>
          </cell>
          <cell r="D356" t="str">
            <v>Md. Ahasan Habib</v>
          </cell>
          <cell r="E356">
            <v>239133</v>
          </cell>
          <cell r="F356" t="str">
            <v>Store</v>
          </cell>
          <cell r="G356" t="str">
            <v>Senior Executive</v>
          </cell>
        </row>
        <row r="357">
          <cell r="B357">
            <v>239151</v>
          </cell>
          <cell r="C357" t="str">
            <v>R1276</v>
          </cell>
          <cell r="D357" t="str">
            <v>Md. Billal Hossaion</v>
          </cell>
          <cell r="E357">
            <v>239151</v>
          </cell>
          <cell r="F357" t="str">
            <v>Commercial</v>
          </cell>
          <cell r="G357" t="str">
            <v>Junior Executive</v>
          </cell>
        </row>
        <row r="358">
          <cell r="B358">
            <v>240037</v>
          </cell>
          <cell r="C358" t="str">
            <v>AFBL(Marketing)-2570</v>
          </cell>
          <cell r="D358" t="str">
            <v xml:space="preserve">Fazley Karim </v>
          </cell>
          <cell r="E358">
            <v>240037</v>
          </cell>
          <cell r="F358" t="str">
            <v>Sales Admin</v>
          </cell>
          <cell r="G358" t="str">
            <v>Assistant General Manager</v>
          </cell>
        </row>
        <row r="359">
          <cell r="B359">
            <v>240546</v>
          </cell>
          <cell r="C359" t="str">
            <v>FR1821</v>
          </cell>
          <cell r="D359" t="str">
            <v>T M A Karim Jewel</v>
          </cell>
          <cell r="E359">
            <v>240546</v>
          </cell>
          <cell r="F359" t="str">
            <v>Mechanical</v>
          </cell>
          <cell r="G359" t="str">
            <v>Senior Engineer</v>
          </cell>
        </row>
        <row r="360">
          <cell r="B360">
            <v>240692</v>
          </cell>
          <cell r="C360" t="str">
            <v>AFBL(Marketing)-2573</v>
          </cell>
          <cell r="D360" t="str">
            <v>Wali Ullah</v>
          </cell>
          <cell r="E360">
            <v>240692</v>
          </cell>
          <cell r="F360" t="str">
            <v>Sales &amp; Marketing</v>
          </cell>
          <cell r="G360" t="str">
            <v>Area Sales Manager</v>
          </cell>
        </row>
        <row r="361">
          <cell r="B361">
            <v>241003</v>
          </cell>
          <cell r="C361" t="str">
            <v>FR1825</v>
          </cell>
          <cell r="D361" t="str">
            <v>Md. Mahmudur Rahman</v>
          </cell>
          <cell r="E361">
            <v>241003</v>
          </cell>
          <cell r="F361" t="str">
            <v>Store</v>
          </cell>
          <cell r="G361" t="str">
            <v>Junior Executive</v>
          </cell>
        </row>
        <row r="362">
          <cell r="B362">
            <v>243408</v>
          </cell>
          <cell r="C362" t="str">
            <v>FR1857</v>
          </cell>
          <cell r="D362" t="str">
            <v>Johir Ahmed</v>
          </cell>
          <cell r="E362">
            <v>243408</v>
          </cell>
          <cell r="F362" t="str">
            <v>Electrical</v>
          </cell>
          <cell r="G362" t="str">
            <v>Senior Engineer</v>
          </cell>
        </row>
        <row r="363">
          <cell r="B363">
            <v>243441</v>
          </cell>
          <cell r="C363" t="str">
            <v>AFBL(Marketing)-2614</v>
          </cell>
          <cell r="D363" t="str">
            <v>Faisal Ahmed</v>
          </cell>
          <cell r="E363">
            <v>243441</v>
          </cell>
          <cell r="F363" t="str">
            <v>Sales &amp; Marketing</v>
          </cell>
          <cell r="G363" t="str">
            <v>Area Sales Manager</v>
          </cell>
        </row>
        <row r="364">
          <cell r="B364">
            <v>243461</v>
          </cell>
          <cell r="C364" t="str">
            <v>afbl(2)-234</v>
          </cell>
          <cell r="D364" t="str">
            <v>Mizanur Rahman</v>
          </cell>
          <cell r="E364">
            <v>243461</v>
          </cell>
          <cell r="F364" t="str">
            <v>Store</v>
          </cell>
          <cell r="G364" t="str">
            <v>Executive</v>
          </cell>
        </row>
        <row r="365">
          <cell r="B365">
            <v>243513</v>
          </cell>
          <cell r="C365" t="str">
            <v>FR1858</v>
          </cell>
          <cell r="D365" t="str">
            <v>Md. Iftakhar Alam</v>
          </cell>
          <cell r="E365">
            <v>243513</v>
          </cell>
          <cell r="F365" t="str">
            <v>Electrical</v>
          </cell>
          <cell r="G365" t="str">
            <v>Senior Engineer</v>
          </cell>
        </row>
        <row r="366">
          <cell r="B366">
            <v>243519</v>
          </cell>
          <cell r="C366" t="str">
            <v>AFBL(Marketing)-2621</v>
          </cell>
          <cell r="D366" t="str">
            <v>Md. Abu Zafar</v>
          </cell>
          <cell r="E366">
            <v>243519</v>
          </cell>
          <cell r="F366" t="str">
            <v>Sales &amp; Marketing</v>
          </cell>
          <cell r="G366" t="str">
            <v>Area Sales Manager</v>
          </cell>
        </row>
        <row r="367">
          <cell r="B367">
            <v>243520</v>
          </cell>
          <cell r="C367" t="str">
            <v>FR1860</v>
          </cell>
          <cell r="D367" t="str">
            <v>Md. Mijanur Rahman Mollah</v>
          </cell>
          <cell r="E367">
            <v>243520</v>
          </cell>
          <cell r="F367" t="str">
            <v>Electrical</v>
          </cell>
          <cell r="G367" t="str">
            <v>Senior Engineer</v>
          </cell>
        </row>
        <row r="368">
          <cell r="B368">
            <v>244339</v>
          </cell>
          <cell r="C368" t="str">
            <v>AFBL(Marketing)-2637</v>
          </cell>
          <cell r="D368" t="str">
            <v xml:space="preserve">Md.Shahinul Islam </v>
          </cell>
          <cell r="E368">
            <v>244339</v>
          </cell>
          <cell r="F368" t="str">
            <v>Sales &amp; Marketing</v>
          </cell>
          <cell r="G368" t="str">
            <v>Territory Sales Manager</v>
          </cell>
        </row>
        <row r="369">
          <cell r="B369">
            <v>244346</v>
          </cell>
          <cell r="C369" t="str">
            <v>AFBL(Marketing)-2646</v>
          </cell>
          <cell r="D369" t="str">
            <v>Md. Moniruzzaman</v>
          </cell>
          <cell r="E369">
            <v>244346</v>
          </cell>
          <cell r="F369" t="str">
            <v>Sales &amp; Marketing</v>
          </cell>
          <cell r="G369" t="str">
            <v>Area Sales Manager</v>
          </cell>
        </row>
        <row r="370">
          <cell r="B370">
            <v>244375</v>
          </cell>
          <cell r="C370" t="str">
            <v>AFBL(Marketing)-2645</v>
          </cell>
          <cell r="D370" t="str">
            <v>Md. Hasan Ali</v>
          </cell>
          <cell r="E370">
            <v>244375</v>
          </cell>
          <cell r="F370" t="str">
            <v>Sales &amp; Marketing</v>
          </cell>
          <cell r="G370" t="str">
            <v>Territory Sales Manager</v>
          </cell>
        </row>
        <row r="371">
          <cell r="B371">
            <v>250153</v>
          </cell>
          <cell r="C371" t="str">
            <v>R1327</v>
          </cell>
          <cell r="D371" t="str">
            <v>Azam Bin Tareq</v>
          </cell>
          <cell r="E371">
            <v>250153</v>
          </cell>
          <cell r="F371" t="str">
            <v>Outdoor Management</v>
          </cell>
          <cell r="G371" t="str">
            <v>Assistant General Manager</v>
          </cell>
        </row>
        <row r="372">
          <cell r="B372">
            <v>251512</v>
          </cell>
          <cell r="C372" t="str">
            <v>R1329</v>
          </cell>
          <cell r="D372" t="str">
            <v>Saeed Ahmed Fahim</v>
          </cell>
          <cell r="E372">
            <v>251512</v>
          </cell>
          <cell r="F372" t="str">
            <v>Supply Chain</v>
          </cell>
          <cell r="G372" t="str">
            <v>Senior Executive</v>
          </cell>
        </row>
        <row r="373">
          <cell r="B373">
            <v>251683</v>
          </cell>
          <cell r="C373" t="str">
            <v>AFBL(Marketing)-2686</v>
          </cell>
          <cell r="D373" t="str">
            <v>Shiblu Chandra Das</v>
          </cell>
          <cell r="E373">
            <v>251683</v>
          </cell>
          <cell r="F373" t="str">
            <v>Distribution</v>
          </cell>
          <cell r="G373" t="str">
            <v>Assistant Manager</v>
          </cell>
        </row>
        <row r="374">
          <cell r="B374">
            <v>251864</v>
          </cell>
          <cell r="C374" t="str">
            <v>AFBL(2)-245</v>
          </cell>
          <cell r="D374" t="str">
            <v>Monirul Islam</v>
          </cell>
          <cell r="E374">
            <v>251864</v>
          </cell>
          <cell r="F374" t="str">
            <v>Store</v>
          </cell>
          <cell r="G374" t="str">
            <v>Junior Executive</v>
          </cell>
        </row>
        <row r="375">
          <cell r="B375">
            <v>255370</v>
          </cell>
          <cell r="C375" t="str">
            <v>AFBL(Marketing)-2703</v>
          </cell>
          <cell r="D375" t="str">
            <v>Md. Mizanur Rahman</v>
          </cell>
          <cell r="E375">
            <v>255370</v>
          </cell>
          <cell r="F375" t="str">
            <v>Sales &amp; Marketing</v>
          </cell>
          <cell r="G375" t="str">
            <v>Territory Sales Manager</v>
          </cell>
        </row>
        <row r="376">
          <cell r="B376">
            <v>263317</v>
          </cell>
          <cell r="C376" t="str">
            <v>AFBL(Marketing)-2722</v>
          </cell>
          <cell r="D376" t="str">
            <v>Md. Moniruzzaman</v>
          </cell>
          <cell r="E376">
            <v>263317</v>
          </cell>
          <cell r="F376" t="str">
            <v>Sales &amp; Marketing</v>
          </cell>
          <cell r="G376" t="str">
            <v>Regional Sales Incharge</v>
          </cell>
        </row>
        <row r="377">
          <cell r="B377">
            <v>264671</v>
          </cell>
          <cell r="C377" t="str">
            <v>R1365</v>
          </cell>
          <cell r="D377" t="str">
            <v>Newaz Mohammed Hasan</v>
          </cell>
          <cell r="E377">
            <v>264671</v>
          </cell>
          <cell r="F377" t="str">
            <v>Digital Marketing</v>
          </cell>
          <cell r="G377" t="str">
            <v>Assistant Manager</v>
          </cell>
        </row>
        <row r="378">
          <cell r="B378">
            <v>265609</v>
          </cell>
          <cell r="C378" t="str">
            <v>FR1918</v>
          </cell>
          <cell r="D378" t="str">
            <v>Md. Moziber Sarkar</v>
          </cell>
          <cell r="E378">
            <v>265609</v>
          </cell>
          <cell r="F378" t="str">
            <v>Mechanical</v>
          </cell>
          <cell r="G378" t="str">
            <v>Engineer</v>
          </cell>
        </row>
        <row r="379">
          <cell r="B379">
            <v>267705</v>
          </cell>
          <cell r="C379" t="str">
            <v>AFBL(Marketing)-2751</v>
          </cell>
          <cell r="D379" t="str">
            <v xml:space="preserve">Md. Asaduzzaman </v>
          </cell>
          <cell r="E379">
            <v>267705</v>
          </cell>
          <cell r="F379" t="str">
            <v>Sales &amp; Marketing</v>
          </cell>
          <cell r="G379" t="str">
            <v>Territory Sales Manager</v>
          </cell>
        </row>
        <row r="380">
          <cell r="B380">
            <v>270144</v>
          </cell>
          <cell r="C380" t="str">
            <v>AFBL(Marketing)-2757</v>
          </cell>
          <cell r="D380" t="str">
            <v xml:space="preserve">A A S K Anjurul Islam </v>
          </cell>
          <cell r="E380">
            <v>270144</v>
          </cell>
          <cell r="F380" t="str">
            <v>Sales &amp; Marketing</v>
          </cell>
          <cell r="G380" t="str">
            <v>Territory Sales Manager</v>
          </cell>
        </row>
        <row r="381">
          <cell r="B381">
            <v>270482</v>
          </cell>
          <cell r="C381" t="str">
            <v>AFBL(Marketing)-2769</v>
          </cell>
          <cell r="D381" t="str">
            <v>Md. Mozammel Haque</v>
          </cell>
          <cell r="E381">
            <v>270482</v>
          </cell>
          <cell r="F381" t="str">
            <v>Sales &amp; Marketing</v>
          </cell>
          <cell r="G381" t="str">
            <v>Area Sales Manager</v>
          </cell>
        </row>
        <row r="382">
          <cell r="B382">
            <v>270486</v>
          </cell>
          <cell r="C382" t="str">
            <v>AFBL(Marketing)-2771</v>
          </cell>
          <cell r="D382" t="str">
            <v xml:space="preserve">Sk Al Mamun </v>
          </cell>
          <cell r="E382">
            <v>270486</v>
          </cell>
          <cell r="F382" t="str">
            <v>Sales &amp; Marketing</v>
          </cell>
          <cell r="G382" t="str">
            <v>Area Sales Manager</v>
          </cell>
        </row>
        <row r="383">
          <cell r="B383">
            <v>272462</v>
          </cell>
          <cell r="C383" t="str">
            <v>AFBL(Marketing)-2790</v>
          </cell>
          <cell r="D383" t="str">
            <v>Md. Rashed Hasan</v>
          </cell>
          <cell r="E383">
            <v>272462</v>
          </cell>
          <cell r="F383" t="str">
            <v>Commercial</v>
          </cell>
          <cell r="G383" t="str">
            <v>Executive</v>
          </cell>
        </row>
        <row r="384">
          <cell r="B384">
            <v>275328</v>
          </cell>
          <cell r="C384" t="str">
            <v>AFBL(Marketing)-2811</v>
          </cell>
          <cell r="D384" t="str">
            <v xml:space="preserve">Jiyaur Rahman </v>
          </cell>
          <cell r="E384">
            <v>275328</v>
          </cell>
          <cell r="F384" t="str">
            <v>Sales &amp; Marketing</v>
          </cell>
          <cell r="G384" t="str">
            <v>Territory Sales Manager</v>
          </cell>
        </row>
        <row r="385">
          <cell r="B385">
            <v>275376</v>
          </cell>
          <cell r="C385" t="str">
            <v>AFBL(2)-274</v>
          </cell>
          <cell r="D385" t="str">
            <v>Md. Kamrul Hasan</v>
          </cell>
          <cell r="E385">
            <v>275376</v>
          </cell>
          <cell r="F385" t="str">
            <v>Electrical</v>
          </cell>
          <cell r="G385" t="str">
            <v>Deputy Manager</v>
          </cell>
        </row>
        <row r="386">
          <cell r="B386">
            <v>275826</v>
          </cell>
          <cell r="C386" t="str">
            <v>AFBL(Marketing)-2826</v>
          </cell>
          <cell r="D386" t="str">
            <v xml:space="preserve">Moniruzzaman </v>
          </cell>
          <cell r="E386">
            <v>275826</v>
          </cell>
          <cell r="F386" t="str">
            <v>Sales &amp; Marketing</v>
          </cell>
          <cell r="G386" t="str">
            <v>Territory Sales Manager</v>
          </cell>
        </row>
        <row r="387">
          <cell r="B387">
            <v>276266</v>
          </cell>
          <cell r="C387" t="str">
            <v>FR1950</v>
          </cell>
          <cell r="D387" t="str">
            <v>A K M Hafizur Rahman Khan</v>
          </cell>
          <cell r="E387">
            <v>276266</v>
          </cell>
          <cell r="F387" t="str">
            <v>Security</v>
          </cell>
          <cell r="G387" t="str">
            <v>Adviser</v>
          </cell>
        </row>
        <row r="388">
          <cell r="B388">
            <v>277210</v>
          </cell>
          <cell r="C388" t="str">
            <v>AFBL(Marketing)-2838</v>
          </cell>
          <cell r="D388" t="str">
            <v xml:space="preserve">Md Siful Islam </v>
          </cell>
          <cell r="E388">
            <v>277210</v>
          </cell>
          <cell r="F388" t="str">
            <v>Sales &amp; Marketing</v>
          </cell>
          <cell r="G388" t="str">
            <v>Territory Sales Manager</v>
          </cell>
        </row>
        <row r="389">
          <cell r="B389">
            <v>278775</v>
          </cell>
          <cell r="C389" t="str">
            <v>AFBL(2)-279</v>
          </cell>
          <cell r="D389" t="str">
            <v>Md.Rafi Uddin</v>
          </cell>
          <cell r="E389">
            <v>278775</v>
          </cell>
          <cell r="F389" t="str">
            <v>PPS</v>
          </cell>
          <cell r="G389" t="str">
            <v>Senior Engineer</v>
          </cell>
        </row>
        <row r="390">
          <cell r="B390">
            <v>280373</v>
          </cell>
          <cell r="C390" t="str">
            <v>AFBL(Marketing)-2870</v>
          </cell>
          <cell r="D390" t="str">
            <v xml:space="preserve">Md Ziaur Rahman </v>
          </cell>
          <cell r="E390">
            <v>280373</v>
          </cell>
          <cell r="F390" t="str">
            <v>Sales &amp; Marketing</v>
          </cell>
          <cell r="G390" t="str">
            <v>Territory Sales Manager</v>
          </cell>
        </row>
        <row r="391">
          <cell r="B391">
            <v>280378</v>
          </cell>
          <cell r="C391" t="str">
            <v>AFBL(Marketing)-2875</v>
          </cell>
          <cell r="D391" t="str">
            <v xml:space="preserve">Md. Hafizur Rahman </v>
          </cell>
          <cell r="E391">
            <v>280378</v>
          </cell>
          <cell r="F391" t="str">
            <v>Sales &amp; Marketing</v>
          </cell>
          <cell r="G391" t="str">
            <v>Territory Sales Manager</v>
          </cell>
        </row>
        <row r="392">
          <cell r="B392">
            <v>281507</v>
          </cell>
          <cell r="C392" t="str">
            <v>R1483</v>
          </cell>
          <cell r="D392" t="str">
            <v xml:space="preserve">Pritom Ghosh </v>
          </cell>
          <cell r="E392">
            <v>281507</v>
          </cell>
          <cell r="F392" t="str">
            <v>Business Development &amp; Research</v>
          </cell>
          <cell r="G392" t="str">
            <v>Assistant Manager</v>
          </cell>
        </row>
        <row r="393">
          <cell r="B393">
            <v>281996</v>
          </cell>
          <cell r="C393" t="str">
            <v>AFBL(Marketing)-2893</v>
          </cell>
          <cell r="D393" t="str">
            <v xml:space="preserve">Mostafizur Rahman </v>
          </cell>
          <cell r="E393">
            <v>281996</v>
          </cell>
          <cell r="F393" t="str">
            <v>Sales &amp; Marketing</v>
          </cell>
          <cell r="G393" t="str">
            <v>Area Sales Manager</v>
          </cell>
        </row>
        <row r="394">
          <cell r="B394">
            <v>282129</v>
          </cell>
          <cell r="C394" t="str">
            <v>R1486</v>
          </cell>
          <cell r="D394" t="str">
            <v>Mahmudul Hasan</v>
          </cell>
          <cell r="E394">
            <v>282129</v>
          </cell>
          <cell r="F394" t="str">
            <v>Internal Audit &amp; Compliance</v>
          </cell>
          <cell r="G394" t="str">
            <v>Senior Executive</v>
          </cell>
        </row>
        <row r="395">
          <cell r="B395">
            <v>282132</v>
          </cell>
          <cell r="C395" t="str">
            <v>R1485</v>
          </cell>
          <cell r="D395" t="str">
            <v>Md. Mehedi Hasan</v>
          </cell>
          <cell r="E395">
            <v>282132</v>
          </cell>
          <cell r="F395" t="str">
            <v>Market Audit &amp; Business Intelligence</v>
          </cell>
          <cell r="G395" t="str">
            <v>Manager</v>
          </cell>
        </row>
        <row r="396">
          <cell r="B396">
            <v>282136</v>
          </cell>
          <cell r="C396" t="str">
            <v>R1488</v>
          </cell>
          <cell r="D396" t="str">
            <v>Rasel Mia</v>
          </cell>
          <cell r="E396">
            <v>282136</v>
          </cell>
          <cell r="F396" t="str">
            <v>Outdoor Management</v>
          </cell>
          <cell r="G396" t="str">
            <v>Senior Executive</v>
          </cell>
        </row>
        <row r="397">
          <cell r="B397">
            <v>282682</v>
          </cell>
          <cell r="C397" t="str">
            <v>FR1988</v>
          </cell>
          <cell r="D397" t="str">
            <v>Md. Arshadur Rahman</v>
          </cell>
          <cell r="E397">
            <v>282682</v>
          </cell>
          <cell r="F397" t="str">
            <v>Quality Control</v>
          </cell>
          <cell r="G397" t="str">
            <v>Executive</v>
          </cell>
        </row>
        <row r="398">
          <cell r="B398">
            <v>282721</v>
          </cell>
          <cell r="C398" t="str">
            <v>AFBL(Marketing)-2897</v>
          </cell>
          <cell r="D398" t="str">
            <v xml:space="preserve">Md Mazharul Islam </v>
          </cell>
          <cell r="E398">
            <v>282721</v>
          </cell>
          <cell r="F398" t="str">
            <v>Sales &amp; Marketing</v>
          </cell>
          <cell r="G398" t="str">
            <v>Area Sales Manager</v>
          </cell>
        </row>
        <row r="399">
          <cell r="B399">
            <v>283354</v>
          </cell>
          <cell r="C399" t="str">
            <v>AFBL(Marketing)-2910</v>
          </cell>
          <cell r="D399" t="str">
            <v>Ahasanul Amin</v>
          </cell>
          <cell r="E399">
            <v>283354</v>
          </cell>
          <cell r="F399" t="str">
            <v>Sales &amp; Marketing</v>
          </cell>
          <cell r="G399" t="str">
            <v>Area Sales Manager</v>
          </cell>
        </row>
        <row r="400">
          <cell r="B400">
            <v>283634</v>
          </cell>
          <cell r="C400" t="str">
            <v>FR1991</v>
          </cell>
          <cell r="D400" t="str">
            <v>Md. Salim Reza Razu</v>
          </cell>
          <cell r="E400">
            <v>283634</v>
          </cell>
          <cell r="F400" t="str">
            <v xml:space="preserve">Power </v>
          </cell>
          <cell r="G400" t="str">
            <v>Engineer</v>
          </cell>
        </row>
        <row r="401">
          <cell r="B401">
            <v>283763</v>
          </cell>
          <cell r="C401" t="str">
            <v>FR1995</v>
          </cell>
          <cell r="D401" t="str">
            <v>Md. Harun-Or-Rashid</v>
          </cell>
          <cell r="E401">
            <v>283763</v>
          </cell>
          <cell r="F401" t="str">
            <v>Electrical</v>
          </cell>
          <cell r="G401" t="str">
            <v>Senior Engineer</v>
          </cell>
        </row>
        <row r="402">
          <cell r="B402">
            <v>283782</v>
          </cell>
          <cell r="C402" t="str">
            <v>FR1996</v>
          </cell>
          <cell r="D402" t="str">
            <v>Md. Faruk Mia</v>
          </cell>
          <cell r="E402">
            <v>283782</v>
          </cell>
          <cell r="F402" t="str">
            <v>Store</v>
          </cell>
          <cell r="G402" t="str">
            <v>Junior Executive</v>
          </cell>
        </row>
        <row r="403">
          <cell r="B403">
            <v>285669</v>
          </cell>
          <cell r="C403" t="str">
            <v>AFBL(Marketing)-2952</v>
          </cell>
          <cell r="D403" t="str">
            <v>Md. Abul Monsur Chowdhury</v>
          </cell>
          <cell r="E403">
            <v>285669</v>
          </cell>
          <cell r="F403" t="str">
            <v>Sales &amp; Marketing</v>
          </cell>
          <cell r="G403" t="str">
            <v>Territory Sales Manager</v>
          </cell>
        </row>
        <row r="404">
          <cell r="B404">
            <v>287746</v>
          </cell>
          <cell r="C404" t="str">
            <v>FR2035</v>
          </cell>
          <cell r="D404" t="str">
            <v>Md. Habibur Rahman</v>
          </cell>
          <cell r="E404">
            <v>287746</v>
          </cell>
          <cell r="F404" t="str">
            <v>Distribution</v>
          </cell>
          <cell r="G404" t="str">
            <v>Junior Executive</v>
          </cell>
        </row>
        <row r="405">
          <cell r="B405">
            <v>288864</v>
          </cell>
          <cell r="C405" t="str">
            <v>AFBL(Marketing)-3006</v>
          </cell>
          <cell r="D405" t="str">
            <v xml:space="preserve">Rayhan Ali </v>
          </cell>
          <cell r="E405">
            <v>288864</v>
          </cell>
          <cell r="F405" t="str">
            <v>Sales &amp; Marketing</v>
          </cell>
          <cell r="G405" t="str">
            <v>Territory Sales Manager</v>
          </cell>
        </row>
        <row r="406">
          <cell r="B406">
            <v>288972</v>
          </cell>
          <cell r="C406" t="str">
            <v>FR2051</v>
          </cell>
          <cell r="D406" t="str">
            <v>Md. Kamrul Hasan</v>
          </cell>
          <cell r="E406">
            <v>288972</v>
          </cell>
          <cell r="F406" t="str">
            <v>CSD</v>
          </cell>
          <cell r="G406" t="str">
            <v>Senior Executive</v>
          </cell>
        </row>
        <row r="407">
          <cell r="B407">
            <v>289173</v>
          </cell>
          <cell r="C407" t="str">
            <v>FR2054</v>
          </cell>
          <cell r="D407" t="str">
            <v>Sazu Mia</v>
          </cell>
          <cell r="E407">
            <v>289173</v>
          </cell>
          <cell r="F407" t="str">
            <v>Transport</v>
          </cell>
          <cell r="G407" t="str">
            <v>Junior Executive</v>
          </cell>
        </row>
        <row r="408">
          <cell r="B408">
            <v>292454</v>
          </cell>
          <cell r="C408" t="str">
            <v>R1574</v>
          </cell>
          <cell r="D408" t="str">
            <v>Shakil Ahammed</v>
          </cell>
          <cell r="E408">
            <v>292454</v>
          </cell>
          <cell r="F408" t="str">
            <v>Accounts And Finance</v>
          </cell>
          <cell r="G408" t="str">
            <v>Senior Executive</v>
          </cell>
        </row>
        <row r="409">
          <cell r="B409">
            <v>293196</v>
          </cell>
          <cell r="C409" t="str">
            <v>AFBL(Marketing)-3021</v>
          </cell>
          <cell r="D409" t="str">
            <v xml:space="preserve">Sumon Chandra Das </v>
          </cell>
          <cell r="E409">
            <v>293196</v>
          </cell>
          <cell r="F409" t="str">
            <v>Sales &amp; Marketing</v>
          </cell>
          <cell r="G409" t="str">
            <v>Area Sales Manager</v>
          </cell>
        </row>
        <row r="410">
          <cell r="B410">
            <v>294020</v>
          </cell>
          <cell r="C410" t="str">
            <v>AFBL(Marketing)-3029</v>
          </cell>
          <cell r="D410" t="str">
            <v>Syed Nasir Uddin</v>
          </cell>
          <cell r="E410">
            <v>294020</v>
          </cell>
          <cell r="F410" t="str">
            <v>Sales &amp; Marketing</v>
          </cell>
          <cell r="G410" t="str">
            <v>Area Sales Manager</v>
          </cell>
        </row>
        <row r="411">
          <cell r="B411">
            <v>294028</v>
          </cell>
          <cell r="C411" t="str">
            <v>AFBL(Marketing)-3035</v>
          </cell>
          <cell r="D411" t="str">
            <v>Md. Nasir Uddin</v>
          </cell>
          <cell r="E411">
            <v>294028</v>
          </cell>
          <cell r="F411" t="str">
            <v>Sales &amp; Marketing</v>
          </cell>
          <cell r="G411" t="str">
            <v>Area Sales Manager</v>
          </cell>
        </row>
        <row r="412">
          <cell r="B412">
            <v>294549</v>
          </cell>
          <cell r="C412" t="str">
            <v>FR2080</v>
          </cell>
          <cell r="D412" t="str">
            <v>Masud Rana</v>
          </cell>
          <cell r="E412">
            <v>294549</v>
          </cell>
          <cell r="F412" t="str">
            <v>CSD-8</v>
          </cell>
          <cell r="G412" t="str">
            <v>Senior Executive</v>
          </cell>
        </row>
        <row r="413">
          <cell r="B413">
            <v>295747</v>
          </cell>
          <cell r="C413" t="str">
            <v>FR2093</v>
          </cell>
          <cell r="D413" t="str">
            <v>Shamima Nasrin</v>
          </cell>
          <cell r="E413">
            <v>295747</v>
          </cell>
          <cell r="F413" t="str">
            <v>Quality Control</v>
          </cell>
          <cell r="G413" t="str">
            <v>Senior Microbiologist</v>
          </cell>
        </row>
        <row r="414">
          <cell r="B414">
            <v>295831</v>
          </cell>
          <cell r="C414" t="str">
            <v>FR2101</v>
          </cell>
          <cell r="D414" t="str">
            <v>Md. Kabir Hossain</v>
          </cell>
          <cell r="E414">
            <v>295831</v>
          </cell>
          <cell r="F414" t="str">
            <v>Quality Control</v>
          </cell>
          <cell r="G414" t="str">
            <v>Senior Microbiologist</v>
          </cell>
        </row>
        <row r="415">
          <cell r="B415">
            <v>297880</v>
          </cell>
          <cell r="C415" t="str">
            <v>AFBL(Marketing)-3074</v>
          </cell>
          <cell r="D415" t="str">
            <v xml:space="preserve">Md. Shahidur Rahman </v>
          </cell>
          <cell r="E415">
            <v>297880</v>
          </cell>
          <cell r="F415" t="str">
            <v>Sales &amp; Marketing</v>
          </cell>
          <cell r="G415" t="str">
            <v>Territory Sales Manager</v>
          </cell>
        </row>
        <row r="416">
          <cell r="B416">
            <v>297889</v>
          </cell>
          <cell r="C416" t="str">
            <v>AFBL(Marketing)-3080</v>
          </cell>
          <cell r="D416" t="str">
            <v xml:space="preserve">Ayub Hossain </v>
          </cell>
          <cell r="E416">
            <v>297889</v>
          </cell>
          <cell r="F416" t="str">
            <v>Sales &amp; Marketing</v>
          </cell>
          <cell r="G416" t="str">
            <v>Territory Sales Manager</v>
          </cell>
        </row>
        <row r="417">
          <cell r="B417">
            <v>298128</v>
          </cell>
          <cell r="C417" t="str">
            <v>AFBL(2)-299</v>
          </cell>
          <cell r="D417" t="str">
            <v>Mohammad Ullah Bhuiyan</v>
          </cell>
          <cell r="E417">
            <v>298128</v>
          </cell>
          <cell r="F417" t="str">
            <v>PPS</v>
          </cell>
          <cell r="G417" t="str">
            <v>Engineer</v>
          </cell>
        </row>
        <row r="418">
          <cell r="B418">
            <v>300970</v>
          </cell>
          <cell r="C418" t="str">
            <v>AGRO-256</v>
          </cell>
          <cell r="D418" t="str">
            <v>Md. Omar Faruk</v>
          </cell>
          <cell r="E418">
            <v>300970</v>
          </cell>
          <cell r="F418" t="str">
            <v>Production</v>
          </cell>
          <cell r="G418" t="str">
            <v>Assistant Engineer</v>
          </cell>
        </row>
        <row r="419">
          <cell r="B419">
            <v>300973</v>
          </cell>
          <cell r="C419" t="str">
            <v>AGRO-258</v>
          </cell>
          <cell r="D419" t="str">
            <v>Md. Tohuruzzaman</v>
          </cell>
          <cell r="E419">
            <v>300973</v>
          </cell>
          <cell r="F419" t="str">
            <v>Production</v>
          </cell>
          <cell r="G419" t="str">
            <v>Assistant Engineer</v>
          </cell>
        </row>
        <row r="420">
          <cell r="B420">
            <v>301484</v>
          </cell>
          <cell r="C420" t="str">
            <v>R1642</v>
          </cell>
          <cell r="D420" t="str">
            <v xml:space="preserve">Payer Ahmed Bhuiyan </v>
          </cell>
          <cell r="E420">
            <v>301484</v>
          </cell>
          <cell r="F420" t="str">
            <v>Export</v>
          </cell>
          <cell r="G420" t="str">
            <v>Senior SDM</v>
          </cell>
        </row>
        <row r="421">
          <cell r="B421">
            <v>301737</v>
          </cell>
          <cell r="C421" t="str">
            <v>AGRO-260</v>
          </cell>
          <cell r="D421" t="str">
            <v>Md. Ilieas Ali</v>
          </cell>
          <cell r="E421">
            <v>301737</v>
          </cell>
          <cell r="F421" t="str">
            <v>Electrical</v>
          </cell>
          <cell r="G421" t="str">
            <v>Engineer</v>
          </cell>
        </row>
        <row r="422">
          <cell r="B422">
            <v>302618</v>
          </cell>
          <cell r="C422" t="str">
            <v>AFBL(Marketing)-3107</v>
          </cell>
          <cell r="D422" t="str">
            <v xml:space="preserve">Soharab Hossain </v>
          </cell>
          <cell r="E422">
            <v>302618</v>
          </cell>
          <cell r="F422" t="str">
            <v>Sales &amp; Marketing</v>
          </cell>
          <cell r="G422" t="str">
            <v>Territory Sales Manager</v>
          </cell>
        </row>
        <row r="423">
          <cell r="B423">
            <v>305613</v>
          </cell>
          <cell r="C423" t="str">
            <v>AFBL(Marketing)-3113</v>
          </cell>
          <cell r="D423" t="str">
            <v>Md. Abu Jafor</v>
          </cell>
          <cell r="E423">
            <v>305613</v>
          </cell>
          <cell r="F423" t="str">
            <v>Sales &amp; Marketing</v>
          </cell>
          <cell r="G423" t="str">
            <v>Territory Sales Manager</v>
          </cell>
        </row>
        <row r="424">
          <cell r="B424">
            <v>305617</v>
          </cell>
          <cell r="C424" t="str">
            <v>AFBL(Marketing)-3114</v>
          </cell>
          <cell r="D424" t="str">
            <v>Md. Farukul Alam Patwary</v>
          </cell>
          <cell r="E424">
            <v>305617</v>
          </cell>
          <cell r="F424" t="str">
            <v>Sales &amp; Marketing</v>
          </cell>
          <cell r="G424" t="str">
            <v>Area Sales Manager</v>
          </cell>
        </row>
        <row r="425">
          <cell r="B425">
            <v>310687</v>
          </cell>
          <cell r="C425" t="str">
            <v>R1676</v>
          </cell>
          <cell r="D425" t="str">
            <v>Redwan Noor Ullah</v>
          </cell>
          <cell r="E425">
            <v>310687</v>
          </cell>
          <cell r="F425" t="str">
            <v>Juice &amp; Drinks</v>
          </cell>
          <cell r="G425" t="str">
            <v>Assistant Manager</v>
          </cell>
        </row>
        <row r="426">
          <cell r="B426">
            <v>311055</v>
          </cell>
          <cell r="C426" t="str">
            <v>FR2172</v>
          </cell>
          <cell r="D426" t="str">
            <v>Md. Abdur Rahaman</v>
          </cell>
          <cell r="E426">
            <v>311055</v>
          </cell>
          <cell r="F426" t="str">
            <v>Mechanical</v>
          </cell>
          <cell r="G426" t="str">
            <v>Engineer</v>
          </cell>
        </row>
        <row r="427">
          <cell r="B427">
            <v>312195</v>
          </cell>
          <cell r="C427" t="str">
            <v>FR2176</v>
          </cell>
          <cell r="D427" t="str">
            <v>Md. Abul Hasan</v>
          </cell>
          <cell r="E427">
            <v>312195</v>
          </cell>
          <cell r="F427" t="str">
            <v>Export</v>
          </cell>
          <cell r="G427" t="str">
            <v>Deputy Manager</v>
          </cell>
        </row>
        <row r="428">
          <cell r="B428">
            <v>312848</v>
          </cell>
          <cell r="C428" t="str">
            <v>R1703</v>
          </cell>
          <cell r="D428" t="str">
            <v xml:space="preserve">Abdullah Alam </v>
          </cell>
          <cell r="E428">
            <v>312848</v>
          </cell>
          <cell r="F428" t="str">
            <v>Export</v>
          </cell>
          <cell r="G428" t="str">
            <v>Assistant Manager</v>
          </cell>
        </row>
        <row r="429">
          <cell r="B429">
            <v>312876</v>
          </cell>
          <cell r="C429" t="str">
            <v>AFBL(Marketing)-3185</v>
          </cell>
          <cell r="D429" t="str">
            <v>Akram Hossain Bhuyian</v>
          </cell>
          <cell r="E429">
            <v>312876</v>
          </cell>
          <cell r="F429" t="str">
            <v>Sales &amp; Marketing</v>
          </cell>
          <cell r="G429" t="str">
            <v>Area Sales Manager</v>
          </cell>
        </row>
        <row r="430">
          <cell r="B430">
            <v>313254</v>
          </cell>
          <cell r="C430" t="str">
            <v>AFBL(2)-306</v>
          </cell>
          <cell r="D430" t="str">
            <v xml:space="preserve">Saiful Islam  </v>
          </cell>
          <cell r="E430">
            <v>313254</v>
          </cell>
          <cell r="F430" t="str">
            <v>Quality Control</v>
          </cell>
          <cell r="G430" t="str">
            <v>Executive</v>
          </cell>
        </row>
        <row r="431">
          <cell r="B431">
            <v>313307</v>
          </cell>
          <cell r="C431" t="str">
            <v>R1709</v>
          </cell>
          <cell r="D431" t="str">
            <v>Waliul Nachhir</v>
          </cell>
          <cell r="E431">
            <v>313307</v>
          </cell>
          <cell r="F431" t="str">
            <v>Commercial</v>
          </cell>
          <cell r="G431" t="str">
            <v>Deputy Manager</v>
          </cell>
        </row>
        <row r="432">
          <cell r="B432">
            <v>313312</v>
          </cell>
          <cell r="C432" t="str">
            <v>R1708</v>
          </cell>
          <cell r="D432" t="str">
            <v>Sk. Muzahidur Rahman</v>
          </cell>
          <cell r="E432">
            <v>313312</v>
          </cell>
          <cell r="F432" t="str">
            <v>Sales Admin</v>
          </cell>
          <cell r="G432" t="str">
            <v>Assistant Manager</v>
          </cell>
        </row>
        <row r="433">
          <cell r="B433">
            <v>320783</v>
          </cell>
          <cell r="C433" t="str">
            <v>R1752</v>
          </cell>
          <cell r="D433" t="str">
            <v>Sanjid Hossain</v>
          </cell>
          <cell r="E433">
            <v>320783</v>
          </cell>
          <cell r="F433" t="str">
            <v>Accounts And Finance</v>
          </cell>
          <cell r="G433" t="str">
            <v>Senior Executive</v>
          </cell>
        </row>
        <row r="434">
          <cell r="B434">
            <v>324752</v>
          </cell>
          <cell r="C434" t="str">
            <v>FR2222</v>
          </cell>
          <cell r="D434" t="str">
            <v>Mehedi Hasan Mitul</v>
          </cell>
          <cell r="E434">
            <v>324752</v>
          </cell>
          <cell r="F434" t="str">
            <v>CSD</v>
          </cell>
          <cell r="G434" t="str">
            <v>Senior Executive</v>
          </cell>
        </row>
        <row r="435">
          <cell r="B435">
            <v>324760</v>
          </cell>
          <cell r="C435" t="str">
            <v>FR2223</v>
          </cell>
          <cell r="D435" t="str">
            <v>Md. Atikur Rahman</v>
          </cell>
          <cell r="E435">
            <v>324760</v>
          </cell>
          <cell r="F435" t="str">
            <v>CSD</v>
          </cell>
          <cell r="G435" t="str">
            <v>Senior Executive</v>
          </cell>
        </row>
        <row r="436">
          <cell r="B436">
            <v>324943</v>
          </cell>
          <cell r="C436" t="str">
            <v>FR2224</v>
          </cell>
          <cell r="D436" t="str">
            <v>Sardar Al Imran</v>
          </cell>
          <cell r="E436">
            <v>324943</v>
          </cell>
          <cell r="F436" t="str">
            <v>HR</v>
          </cell>
          <cell r="G436" t="str">
            <v>Assistant Manager</v>
          </cell>
        </row>
        <row r="437">
          <cell r="B437">
            <v>325006</v>
          </cell>
          <cell r="C437" t="str">
            <v>R1779</v>
          </cell>
          <cell r="D437" t="str">
            <v>Md Khairul Bashar Sarker</v>
          </cell>
          <cell r="E437">
            <v>325006</v>
          </cell>
          <cell r="F437" t="str">
            <v>Supply Chain</v>
          </cell>
          <cell r="G437" t="str">
            <v>Assistant General Manager</v>
          </cell>
        </row>
        <row r="438">
          <cell r="B438">
            <v>330525</v>
          </cell>
          <cell r="C438" t="str">
            <v>AFBL(Marketing)-3298</v>
          </cell>
          <cell r="D438" t="str">
            <v xml:space="preserve">Shariful Islam </v>
          </cell>
          <cell r="E438">
            <v>330525</v>
          </cell>
          <cell r="F438" t="str">
            <v>Sales &amp; Marketing</v>
          </cell>
          <cell r="G438" t="str">
            <v>Territory Sales Manager</v>
          </cell>
        </row>
        <row r="439">
          <cell r="B439">
            <v>330537</v>
          </cell>
          <cell r="C439" t="str">
            <v>AFBL(Marketing)-3305</v>
          </cell>
          <cell r="D439" t="str">
            <v xml:space="preserve">Azam Ali </v>
          </cell>
          <cell r="E439">
            <v>330537</v>
          </cell>
          <cell r="F439" t="str">
            <v>Sales &amp; Marketing</v>
          </cell>
          <cell r="G439" t="str">
            <v>Territory Sales Manager</v>
          </cell>
        </row>
        <row r="440">
          <cell r="B440">
            <v>330709</v>
          </cell>
          <cell r="C440" t="str">
            <v>AFBL(Marketing)-3320</v>
          </cell>
          <cell r="D440" t="str">
            <v xml:space="preserve">Aminur Islam </v>
          </cell>
          <cell r="E440">
            <v>330709</v>
          </cell>
          <cell r="F440" t="str">
            <v>Sales &amp; Marketing</v>
          </cell>
          <cell r="G440" t="str">
            <v>Territory Sales Manager</v>
          </cell>
        </row>
        <row r="441">
          <cell r="B441">
            <v>331065</v>
          </cell>
          <cell r="C441" t="str">
            <v>FR2254</v>
          </cell>
          <cell r="D441" t="str">
            <v>Mr. Moklesur Rohman</v>
          </cell>
          <cell r="E441">
            <v>331065</v>
          </cell>
          <cell r="F441" t="str">
            <v>Aseptic Juice</v>
          </cell>
          <cell r="G441" t="str">
            <v>Assistant Engineer</v>
          </cell>
        </row>
        <row r="442">
          <cell r="B442">
            <v>333641</v>
          </cell>
          <cell r="C442" t="str">
            <v>AFBL(Marketing)-3327</v>
          </cell>
          <cell r="D442" t="str">
            <v>Eunus Ali</v>
          </cell>
          <cell r="E442">
            <v>333641</v>
          </cell>
          <cell r="F442" t="str">
            <v>Sales &amp; Marketing</v>
          </cell>
          <cell r="G442" t="str">
            <v>Territory Sales Manager</v>
          </cell>
        </row>
        <row r="443">
          <cell r="B443">
            <v>335679</v>
          </cell>
          <cell r="C443" t="str">
            <v>FR2271</v>
          </cell>
          <cell r="D443" t="str">
            <v>Ashaduzzaman Nur</v>
          </cell>
          <cell r="E443">
            <v>335679</v>
          </cell>
          <cell r="F443" t="str">
            <v>HR</v>
          </cell>
          <cell r="G443" t="str">
            <v>Junior Executive</v>
          </cell>
        </row>
        <row r="444">
          <cell r="B444">
            <v>338949</v>
          </cell>
          <cell r="C444" t="str">
            <v>FR2277</v>
          </cell>
          <cell r="D444" t="str">
            <v>Md. Toslime Uddin</v>
          </cell>
          <cell r="E444">
            <v>338949</v>
          </cell>
          <cell r="F444" t="str">
            <v>Aseptic Juice</v>
          </cell>
          <cell r="G444" t="str">
            <v>Deputy General Manager</v>
          </cell>
        </row>
        <row r="445">
          <cell r="B445">
            <v>339166</v>
          </cell>
          <cell r="C445" t="str">
            <v>FR2279</v>
          </cell>
          <cell r="D445" t="str">
            <v>Mr. Mantosh Kumar Mandol</v>
          </cell>
          <cell r="E445">
            <v>339166</v>
          </cell>
          <cell r="F445" t="str">
            <v>Store</v>
          </cell>
          <cell r="G445" t="str">
            <v>Executive</v>
          </cell>
        </row>
        <row r="446">
          <cell r="B446">
            <v>339606</v>
          </cell>
          <cell r="C446" t="str">
            <v>FR2281</v>
          </cell>
          <cell r="D446" t="str">
            <v>Md. Rafiq Al Hasan</v>
          </cell>
          <cell r="E446">
            <v>339606</v>
          </cell>
          <cell r="F446" t="str">
            <v>Quality Control</v>
          </cell>
          <cell r="G446" t="str">
            <v>Senior Executive</v>
          </cell>
        </row>
        <row r="447">
          <cell r="B447">
            <v>339609</v>
          </cell>
          <cell r="C447" t="str">
            <v>FR2282</v>
          </cell>
          <cell r="D447" t="str">
            <v>Shanjit Sarkar</v>
          </cell>
          <cell r="E447">
            <v>339609</v>
          </cell>
          <cell r="F447" t="str">
            <v>Quality Control</v>
          </cell>
          <cell r="G447" t="str">
            <v>Executive</v>
          </cell>
        </row>
        <row r="448">
          <cell r="B448">
            <v>339611</v>
          </cell>
          <cell r="C448" t="str">
            <v>FR2284</v>
          </cell>
          <cell r="D448" t="str">
            <v>Md. Wahidur Rahman</v>
          </cell>
          <cell r="E448">
            <v>339611</v>
          </cell>
          <cell r="F448" t="str">
            <v>Export</v>
          </cell>
          <cell r="G448" t="str">
            <v>Senior Executive</v>
          </cell>
        </row>
        <row r="449">
          <cell r="B449">
            <v>339613</v>
          </cell>
          <cell r="C449" t="str">
            <v>FR2285</v>
          </cell>
          <cell r="D449" t="str">
            <v>Md. Rabiul Islam</v>
          </cell>
          <cell r="E449">
            <v>339613</v>
          </cell>
          <cell r="F449" t="str">
            <v>Quality Control</v>
          </cell>
          <cell r="G449" t="str">
            <v>Executive</v>
          </cell>
        </row>
        <row r="450">
          <cell r="B450">
            <v>339616</v>
          </cell>
          <cell r="C450" t="str">
            <v>FR2287</v>
          </cell>
          <cell r="D450" t="str">
            <v>Md. Badal Hossain</v>
          </cell>
          <cell r="E450">
            <v>339616</v>
          </cell>
          <cell r="F450" t="str">
            <v>Quality Control</v>
          </cell>
          <cell r="G450" t="str">
            <v>Senior Microbiologist</v>
          </cell>
        </row>
        <row r="451">
          <cell r="B451">
            <v>339623</v>
          </cell>
          <cell r="C451" t="str">
            <v>FR2288</v>
          </cell>
          <cell r="D451" t="str">
            <v>Md.Rijvy Hasan</v>
          </cell>
          <cell r="E451">
            <v>339623</v>
          </cell>
          <cell r="F451" t="str">
            <v>Quality Control</v>
          </cell>
          <cell r="G451" t="str">
            <v>Senior Executive</v>
          </cell>
        </row>
        <row r="452">
          <cell r="B452">
            <v>339624</v>
          </cell>
          <cell r="C452" t="str">
            <v>FR2289</v>
          </cell>
          <cell r="D452" t="str">
            <v>Bappa Raj Saha</v>
          </cell>
          <cell r="E452">
            <v>339624</v>
          </cell>
          <cell r="F452" t="str">
            <v>Quality Control</v>
          </cell>
          <cell r="G452" t="str">
            <v>Senior Microbiologist</v>
          </cell>
        </row>
        <row r="453">
          <cell r="B453">
            <v>339628</v>
          </cell>
          <cell r="C453" t="str">
            <v>FR2293</v>
          </cell>
          <cell r="D453" t="str">
            <v>Md. Enamul Haque</v>
          </cell>
          <cell r="E453">
            <v>339628</v>
          </cell>
          <cell r="F453" t="str">
            <v>Quality Control</v>
          </cell>
          <cell r="G453" t="str">
            <v>Senior Executive</v>
          </cell>
        </row>
        <row r="454">
          <cell r="B454">
            <v>339635</v>
          </cell>
          <cell r="C454" t="str">
            <v>FR2294</v>
          </cell>
          <cell r="D454" t="str">
            <v>Md. Zamil Furkan</v>
          </cell>
          <cell r="E454">
            <v>339635</v>
          </cell>
          <cell r="F454" t="str">
            <v xml:space="preserve">Power </v>
          </cell>
          <cell r="G454" t="str">
            <v>Engineer</v>
          </cell>
        </row>
        <row r="455">
          <cell r="B455">
            <v>349294</v>
          </cell>
          <cell r="C455" t="str">
            <v>FR2314</v>
          </cell>
          <cell r="D455" t="str">
            <v>Md. Mohasin Ali Gazi</v>
          </cell>
          <cell r="E455">
            <v>349294</v>
          </cell>
          <cell r="F455" t="str">
            <v>Transport</v>
          </cell>
          <cell r="G455" t="str">
            <v>Executive</v>
          </cell>
        </row>
        <row r="456">
          <cell r="B456">
            <v>349416</v>
          </cell>
          <cell r="C456" t="str">
            <v>ABL-30</v>
          </cell>
          <cell r="D456" t="str">
            <v>Md.Kamal Hasan</v>
          </cell>
          <cell r="E456">
            <v>349416</v>
          </cell>
          <cell r="F456" t="str">
            <v>Security</v>
          </cell>
          <cell r="G456" t="str">
            <v>Executive</v>
          </cell>
        </row>
        <row r="457">
          <cell r="B457">
            <v>349904</v>
          </cell>
          <cell r="C457" t="str">
            <v>AFBL(Marketing)-3350</v>
          </cell>
          <cell r="D457" t="str">
            <v>Mohammed Delower Hosen</v>
          </cell>
          <cell r="E457">
            <v>349904</v>
          </cell>
          <cell r="F457" t="str">
            <v>Sales &amp; Marketing</v>
          </cell>
          <cell r="G457" t="str">
            <v>Territory Sales Manager</v>
          </cell>
        </row>
        <row r="458">
          <cell r="B458">
            <v>353847</v>
          </cell>
          <cell r="C458" t="str">
            <v>AFBL(Marketing)-3379</v>
          </cell>
          <cell r="D458" t="str">
            <v>Md. Abul Hossen</v>
          </cell>
          <cell r="E458">
            <v>353847</v>
          </cell>
          <cell r="F458" t="str">
            <v>Sales &amp; Marketing</v>
          </cell>
          <cell r="G458" t="str">
            <v>Territory Sales Manager</v>
          </cell>
        </row>
        <row r="459">
          <cell r="B459">
            <v>353910</v>
          </cell>
          <cell r="C459" t="str">
            <v>FR2337</v>
          </cell>
          <cell r="D459" t="str">
            <v>Md.Masud Rana</v>
          </cell>
          <cell r="E459">
            <v>353910</v>
          </cell>
          <cell r="F459" t="str">
            <v>Store</v>
          </cell>
          <cell r="G459" t="str">
            <v>Executive</v>
          </cell>
        </row>
        <row r="460">
          <cell r="B460">
            <v>357626</v>
          </cell>
          <cell r="C460" t="str">
            <v>FR2352</v>
          </cell>
          <cell r="D460" t="str">
            <v>Ekramul Hoque</v>
          </cell>
          <cell r="E460">
            <v>357626</v>
          </cell>
          <cell r="F460" t="str">
            <v>CSD</v>
          </cell>
          <cell r="G460" t="str">
            <v>Senior Executive</v>
          </cell>
        </row>
        <row r="461">
          <cell r="B461">
            <v>357761</v>
          </cell>
          <cell r="C461" t="str">
            <v>AFBL(Marketing)-3391</v>
          </cell>
          <cell r="D461" t="str">
            <v xml:space="preserve">Md. Aminur Islam </v>
          </cell>
          <cell r="E461">
            <v>357761</v>
          </cell>
          <cell r="F461" t="str">
            <v>Sales &amp; Marketing</v>
          </cell>
          <cell r="G461" t="str">
            <v>Territory Sales Manager</v>
          </cell>
        </row>
        <row r="462">
          <cell r="B462">
            <v>357764</v>
          </cell>
          <cell r="C462" t="str">
            <v>AFBL(Marketing)-3392</v>
          </cell>
          <cell r="D462" t="str">
            <v>Rafiqul Islam</v>
          </cell>
          <cell r="E462">
            <v>357764</v>
          </cell>
          <cell r="F462" t="str">
            <v>Sales &amp; Marketing</v>
          </cell>
          <cell r="G462" t="str">
            <v>Territory Sales Manager</v>
          </cell>
        </row>
        <row r="463">
          <cell r="B463">
            <v>357767</v>
          </cell>
          <cell r="C463" t="str">
            <v>AFBL(Marketing)-3394</v>
          </cell>
          <cell r="D463" t="str">
            <v>Md. Nomanul Haque Faisal</v>
          </cell>
          <cell r="E463">
            <v>357767</v>
          </cell>
          <cell r="F463" t="str">
            <v>Sales &amp; Marketing</v>
          </cell>
          <cell r="G463" t="str">
            <v>Area Sales Manager</v>
          </cell>
        </row>
        <row r="464">
          <cell r="B464">
            <v>365342</v>
          </cell>
          <cell r="C464" t="str">
            <v>FR2357</v>
          </cell>
          <cell r="D464" t="str">
            <v>Md. Abdus Salam</v>
          </cell>
          <cell r="E464">
            <v>365342</v>
          </cell>
          <cell r="F464" t="str">
            <v>CSD-7</v>
          </cell>
          <cell r="G464" t="str">
            <v>Senior Executive</v>
          </cell>
        </row>
        <row r="465">
          <cell r="B465">
            <v>365344</v>
          </cell>
          <cell r="C465" t="str">
            <v>FR2358</v>
          </cell>
          <cell r="D465" t="str">
            <v>Md.Yousuf Ali</v>
          </cell>
          <cell r="E465">
            <v>365344</v>
          </cell>
          <cell r="F465" t="str">
            <v>Quality Control</v>
          </cell>
          <cell r="G465" t="str">
            <v>Senior Executive</v>
          </cell>
        </row>
        <row r="466">
          <cell r="B466">
            <v>365438</v>
          </cell>
          <cell r="C466" t="str">
            <v>FR2373</v>
          </cell>
          <cell r="D466" t="str">
            <v>Jamir Uddin Mahmud</v>
          </cell>
          <cell r="E466">
            <v>365438</v>
          </cell>
          <cell r="F466" t="str">
            <v>Electrical</v>
          </cell>
          <cell r="G466" t="str">
            <v>Engineer</v>
          </cell>
        </row>
        <row r="467">
          <cell r="B467">
            <v>365461</v>
          </cell>
          <cell r="C467" t="str">
            <v>FR2375</v>
          </cell>
          <cell r="D467" t="str">
            <v>Md. Asif Shaikh</v>
          </cell>
          <cell r="E467">
            <v>365461</v>
          </cell>
          <cell r="F467" t="str">
            <v>Quality Control</v>
          </cell>
          <cell r="G467" t="str">
            <v>Senior Executive</v>
          </cell>
        </row>
        <row r="468">
          <cell r="B468">
            <v>365598</v>
          </cell>
          <cell r="C468" t="str">
            <v>FR2379</v>
          </cell>
          <cell r="D468" t="str">
            <v>Md. Mizanur Rahman</v>
          </cell>
          <cell r="E468">
            <v>365598</v>
          </cell>
          <cell r="F468" t="str">
            <v>Quality Control</v>
          </cell>
          <cell r="G468" t="str">
            <v>Senior Executive</v>
          </cell>
        </row>
        <row r="469">
          <cell r="B469">
            <v>365964</v>
          </cell>
          <cell r="C469" t="str">
            <v>FR2372</v>
          </cell>
          <cell r="D469" t="str">
            <v>Md. Mominul Islam</v>
          </cell>
          <cell r="E469">
            <v>365964</v>
          </cell>
          <cell r="F469" t="str">
            <v>Distribution</v>
          </cell>
          <cell r="G469" t="str">
            <v>Junior Executive</v>
          </cell>
        </row>
        <row r="470">
          <cell r="B470">
            <v>369021</v>
          </cell>
          <cell r="C470" t="str">
            <v>FR2404</v>
          </cell>
          <cell r="D470" t="str">
            <v>Delwar Hossain</v>
          </cell>
          <cell r="E470">
            <v>369021</v>
          </cell>
          <cell r="F470" t="str">
            <v>Electrical</v>
          </cell>
          <cell r="G470" t="str">
            <v>Senior Engineer</v>
          </cell>
        </row>
        <row r="471">
          <cell r="B471">
            <v>369024</v>
          </cell>
          <cell r="C471" t="str">
            <v>FR2405</v>
          </cell>
          <cell r="D471" t="str">
            <v>Md. Rasel Al Mamun</v>
          </cell>
          <cell r="E471">
            <v>369024</v>
          </cell>
          <cell r="F471" t="str">
            <v>CSD</v>
          </cell>
          <cell r="G471" t="str">
            <v>Senior Executive</v>
          </cell>
        </row>
        <row r="472">
          <cell r="B472">
            <v>369708</v>
          </cell>
          <cell r="C472" t="str">
            <v>R1887</v>
          </cell>
          <cell r="D472" t="str">
            <v>Shamiron Halder</v>
          </cell>
          <cell r="E472">
            <v>369708</v>
          </cell>
          <cell r="F472" t="str">
            <v xml:space="preserve">Cooler Management </v>
          </cell>
          <cell r="G472" t="str">
            <v>Executive</v>
          </cell>
        </row>
        <row r="473">
          <cell r="B473">
            <v>369868</v>
          </cell>
          <cell r="C473" t="str">
            <v>R1892</v>
          </cell>
          <cell r="D473" t="str">
            <v>Md. Masud Rana</v>
          </cell>
          <cell r="E473">
            <v>369868</v>
          </cell>
          <cell r="F473" t="str">
            <v>Outdoor Management</v>
          </cell>
          <cell r="G473" t="str">
            <v>Senior Executive</v>
          </cell>
        </row>
        <row r="474">
          <cell r="B474">
            <v>370133</v>
          </cell>
          <cell r="C474" t="str">
            <v>R1899</v>
          </cell>
          <cell r="D474" t="str">
            <v>Md. Abu Sufian</v>
          </cell>
          <cell r="E474">
            <v>370133</v>
          </cell>
          <cell r="F474" t="str">
            <v>Event</v>
          </cell>
          <cell r="G474" t="str">
            <v>Senior Executive</v>
          </cell>
        </row>
        <row r="475">
          <cell r="B475">
            <v>370251</v>
          </cell>
          <cell r="C475" t="str">
            <v>AFBL(Marketing)-3493</v>
          </cell>
          <cell r="D475" t="str">
            <v>Rakesh Sarker</v>
          </cell>
          <cell r="E475">
            <v>370251</v>
          </cell>
          <cell r="F475" t="str">
            <v>Sales &amp; Marketing</v>
          </cell>
          <cell r="G475" t="str">
            <v>Territory Sales Manager</v>
          </cell>
        </row>
        <row r="476">
          <cell r="B476">
            <v>370254</v>
          </cell>
          <cell r="C476" t="str">
            <v>AFBL(Marketing)-3495</v>
          </cell>
          <cell r="D476" t="str">
            <v>Md. Sabuj Ali</v>
          </cell>
          <cell r="E476">
            <v>370254</v>
          </cell>
          <cell r="F476" t="str">
            <v>Sales &amp; Marketing</v>
          </cell>
          <cell r="G476" t="str">
            <v>Senior Territory Sales Manager</v>
          </cell>
        </row>
        <row r="477">
          <cell r="B477">
            <v>370259</v>
          </cell>
          <cell r="C477" t="str">
            <v>AFBL(Marketing)-3499</v>
          </cell>
          <cell r="D477" t="str">
            <v>Md. Shimul Hossain</v>
          </cell>
          <cell r="E477">
            <v>370259</v>
          </cell>
          <cell r="F477" t="str">
            <v>Sales &amp; Marketing</v>
          </cell>
          <cell r="G477" t="str">
            <v>Territory Sales Manager</v>
          </cell>
        </row>
        <row r="478">
          <cell r="B478">
            <v>370669</v>
          </cell>
          <cell r="C478" t="str">
            <v>FR2452</v>
          </cell>
          <cell r="D478" t="str">
            <v>Md. Masud Rana</v>
          </cell>
          <cell r="E478">
            <v>370669</v>
          </cell>
          <cell r="F478" t="str">
            <v>CSD-8</v>
          </cell>
          <cell r="G478" t="str">
            <v>Engineer</v>
          </cell>
        </row>
        <row r="479">
          <cell r="B479">
            <v>370675</v>
          </cell>
          <cell r="C479" t="str">
            <v>FR2461</v>
          </cell>
          <cell r="D479" t="str">
            <v>Mrinal Madhu</v>
          </cell>
          <cell r="E479">
            <v>370675</v>
          </cell>
          <cell r="F479" t="str">
            <v>CSD-7</v>
          </cell>
          <cell r="G479" t="str">
            <v>Senior Executive</v>
          </cell>
        </row>
        <row r="480">
          <cell r="B480">
            <v>370941</v>
          </cell>
          <cell r="C480" t="str">
            <v>FR2467</v>
          </cell>
          <cell r="D480" t="str">
            <v>Md. Shahadat Hossain</v>
          </cell>
          <cell r="E480">
            <v>370941</v>
          </cell>
          <cell r="F480" t="str">
            <v>Co2</v>
          </cell>
          <cell r="G480" t="str">
            <v>Engineer</v>
          </cell>
        </row>
        <row r="481">
          <cell r="B481">
            <v>370943</v>
          </cell>
          <cell r="C481" t="str">
            <v>FR2468</v>
          </cell>
          <cell r="D481" t="str">
            <v>Md. Mahmud Hassan</v>
          </cell>
          <cell r="E481">
            <v>370943</v>
          </cell>
          <cell r="F481" t="str">
            <v>Aseptic Juice</v>
          </cell>
          <cell r="G481" t="str">
            <v>Assistant Engineer</v>
          </cell>
        </row>
        <row r="482">
          <cell r="B482">
            <v>370958</v>
          </cell>
          <cell r="C482" t="str">
            <v>R1911</v>
          </cell>
          <cell r="D482" t="str">
            <v>Mohammad Ali</v>
          </cell>
          <cell r="E482">
            <v>370958</v>
          </cell>
          <cell r="F482" t="str">
            <v>Market Audit &amp; Business Intelligence</v>
          </cell>
          <cell r="G482" t="str">
            <v>Senior Executive</v>
          </cell>
        </row>
        <row r="483">
          <cell r="B483">
            <v>371019</v>
          </cell>
          <cell r="C483" t="str">
            <v>AGRO-297</v>
          </cell>
          <cell r="D483" t="str">
            <v>Md.Joynal Abedeen</v>
          </cell>
          <cell r="E483">
            <v>371019</v>
          </cell>
          <cell r="F483" t="str">
            <v>Production</v>
          </cell>
          <cell r="G483" t="str">
            <v>Deputy Manager</v>
          </cell>
        </row>
        <row r="484">
          <cell r="B484">
            <v>371661</v>
          </cell>
          <cell r="C484" t="str">
            <v>R1912</v>
          </cell>
          <cell r="D484" t="str">
            <v>Rakibul Alam</v>
          </cell>
          <cell r="E484">
            <v>371661</v>
          </cell>
          <cell r="F484" t="str">
            <v>Supply Chain</v>
          </cell>
          <cell r="G484" t="str">
            <v>Deputy Manager</v>
          </cell>
        </row>
        <row r="485">
          <cell r="B485">
            <v>372032</v>
          </cell>
          <cell r="C485" t="str">
            <v>AFBL(Marketing)-3503</v>
          </cell>
          <cell r="D485" t="str">
            <v>Md. Abdul Hadi</v>
          </cell>
          <cell r="E485">
            <v>372032</v>
          </cell>
          <cell r="F485" t="str">
            <v>Sales &amp; Marketing</v>
          </cell>
          <cell r="G485" t="str">
            <v>Area Sales Manager</v>
          </cell>
        </row>
        <row r="486">
          <cell r="B486">
            <v>372520</v>
          </cell>
          <cell r="C486" t="str">
            <v>FR2482</v>
          </cell>
          <cell r="D486" t="str">
            <v>Md. Akhinur Islam</v>
          </cell>
          <cell r="E486">
            <v>372520</v>
          </cell>
          <cell r="F486" t="str">
            <v>Aseptic Juice</v>
          </cell>
          <cell r="G486" t="str">
            <v>Assistant Engineer</v>
          </cell>
        </row>
        <row r="487">
          <cell r="B487">
            <v>373159</v>
          </cell>
          <cell r="C487" t="str">
            <v>AGRO-311</v>
          </cell>
          <cell r="D487" t="str">
            <v>Anit Kumar</v>
          </cell>
          <cell r="E487">
            <v>373159</v>
          </cell>
          <cell r="F487" t="str">
            <v>Quality Control</v>
          </cell>
          <cell r="G487" t="str">
            <v>Senior Executive</v>
          </cell>
        </row>
        <row r="488">
          <cell r="B488">
            <v>373633</v>
          </cell>
          <cell r="C488" t="str">
            <v>R1921</v>
          </cell>
          <cell r="D488" t="str">
            <v>Mosharuf Hossain</v>
          </cell>
          <cell r="E488">
            <v>373633</v>
          </cell>
          <cell r="F488" t="str">
            <v>Sales Admin</v>
          </cell>
          <cell r="G488" t="str">
            <v>Senior Executive</v>
          </cell>
        </row>
        <row r="489">
          <cell r="B489">
            <v>376137</v>
          </cell>
          <cell r="C489" t="str">
            <v>R1924</v>
          </cell>
          <cell r="D489" t="str">
            <v>Md. Golam Kibriya</v>
          </cell>
          <cell r="E489">
            <v>376137</v>
          </cell>
          <cell r="F489" t="str">
            <v>Digital Marketing</v>
          </cell>
          <cell r="G489" t="str">
            <v>Senior Executive</v>
          </cell>
        </row>
        <row r="490">
          <cell r="B490">
            <v>376278</v>
          </cell>
          <cell r="C490" t="str">
            <v>FR2504</v>
          </cell>
          <cell r="D490" t="str">
            <v>Kanak Kumar Biswas</v>
          </cell>
          <cell r="E490">
            <v>376278</v>
          </cell>
          <cell r="F490" t="str">
            <v>Quality Control</v>
          </cell>
          <cell r="G490" t="str">
            <v>Senior Executive</v>
          </cell>
        </row>
        <row r="491">
          <cell r="B491">
            <v>377011</v>
          </cell>
          <cell r="C491" t="str">
            <v>R1933</v>
          </cell>
          <cell r="D491" t="str">
            <v>Md. Shazzatul Islam Sazal</v>
          </cell>
          <cell r="E491">
            <v>377011</v>
          </cell>
          <cell r="F491" t="str">
            <v>Market Audit &amp; Business Intelligence</v>
          </cell>
          <cell r="G491" t="str">
            <v>Senior Executive</v>
          </cell>
        </row>
        <row r="492">
          <cell r="B492">
            <v>377016</v>
          </cell>
          <cell r="C492" t="str">
            <v>R1934</v>
          </cell>
          <cell r="D492" t="str">
            <v>Md. Shamim Uddin</v>
          </cell>
          <cell r="E492">
            <v>377016</v>
          </cell>
          <cell r="F492" t="str">
            <v>Internal Audit &amp; Compliance</v>
          </cell>
          <cell r="G492" t="str">
            <v>Senior Executive</v>
          </cell>
        </row>
        <row r="493">
          <cell r="B493">
            <v>377017</v>
          </cell>
          <cell r="C493" t="str">
            <v>R1935</v>
          </cell>
          <cell r="D493" t="str">
            <v>Md Khademul Akteruzzaman</v>
          </cell>
          <cell r="E493">
            <v>377017</v>
          </cell>
          <cell r="F493" t="str">
            <v>Market Audit &amp; Business Intelligence</v>
          </cell>
          <cell r="G493" t="str">
            <v>Senior Executive</v>
          </cell>
        </row>
        <row r="494">
          <cell r="B494">
            <v>377132</v>
          </cell>
          <cell r="C494" t="str">
            <v xml:space="preserve">R1937 </v>
          </cell>
          <cell r="D494" t="str">
            <v xml:space="preserve">Md. Asadujjaman </v>
          </cell>
          <cell r="E494">
            <v>377132</v>
          </cell>
          <cell r="F494" t="str">
            <v>Sales Admin</v>
          </cell>
          <cell r="G494" t="str">
            <v>Assistant Manager</v>
          </cell>
        </row>
        <row r="495">
          <cell r="B495">
            <v>377766</v>
          </cell>
          <cell r="C495" t="str">
            <v xml:space="preserve">R1945 </v>
          </cell>
          <cell r="D495" t="str">
            <v>Md Mozammel Haque</v>
          </cell>
          <cell r="E495">
            <v>377766</v>
          </cell>
          <cell r="F495" t="str">
            <v>Accounts And Finance</v>
          </cell>
          <cell r="G495" t="str">
            <v>Manager</v>
          </cell>
        </row>
        <row r="496">
          <cell r="B496">
            <v>378038</v>
          </cell>
          <cell r="C496" t="str">
            <v>R1948</v>
          </cell>
          <cell r="D496" t="str">
            <v>Amit Saha</v>
          </cell>
          <cell r="E496">
            <v>378038</v>
          </cell>
          <cell r="F496" t="str">
            <v>Accounts And Finance</v>
          </cell>
          <cell r="G496" t="str">
            <v>Assistant General Manager</v>
          </cell>
        </row>
        <row r="497">
          <cell r="B497">
            <v>378211</v>
          </cell>
          <cell r="C497" t="str">
            <v>R1949</v>
          </cell>
          <cell r="D497" t="str">
            <v>Md Sabbir Anowar</v>
          </cell>
          <cell r="E497">
            <v>378211</v>
          </cell>
          <cell r="F497" t="str">
            <v>Outdoor Management</v>
          </cell>
          <cell r="G497" t="str">
            <v>Senior Executive</v>
          </cell>
        </row>
        <row r="498">
          <cell r="B498">
            <v>378493</v>
          </cell>
          <cell r="C498" t="str">
            <v>AFBL(Marketing)-3554</v>
          </cell>
          <cell r="D498" t="str">
            <v>Md Abdul Mannan Khan</v>
          </cell>
          <cell r="E498">
            <v>378493</v>
          </cell>
          <cell r="F498" t="str">
            <v>Sales &amp; Marketing</v>
          </cell>
          <cell r="G498" t="str">
            <v>Territory Sales Manager</v>
          </cell>
        </row>
        <row r="499">
          <cell r="B499">
            <v>380533</v>
          </cell>
          <cell r="C499" t="str">
            <v>AFBL(Marketing)-3578</v>
          </cell>
          <cell r="D499" t="str">
            <v>Ashraful Alam</v>
          </cell>
          <cell r="E499">
            <v>380533</v>
          </cell>
          <cell r="F499" t="str">
            <v>Sales &amp; Marketing</v>
          </cell>
          <cell r="G499" t="str">
            <v>Territory Sales Manager</v>
          </cell>
        </row>
        <row r="500">
          <cell r="B500">
            <v>380534</v>
          </cell>
          <cell r="C500" t="str">
            <v>AFBL(Marketing)-3579</v>
          </cell>
          <cell r="D500" t="str">
            <v>Md Monjurul Hasan</v>
          </cell>
          <cell r="E500">
            <v>380534</v>
          </cell>
          <cell r="F500" t="str">
            <v>Sales &amp; Marketing</v>
          </cell>
          <cell r="G500" t="str">
            <v>Territory Sales Manager</v>
          </cell>
        </row>
        <row r="501">
          <cell r="B501">
            <v>381409</v>
          </cell>
          <cell r="C501" t="str">
            <v>AFBL(Marketing)-3601</v>
          </cell>
          <cell r="D501" t="str">
            <v>Md. Mamunar Rashid</v>
          </cell>
          <cell r="E501">
            <v>381409</v>
          </cell>
          <cell r="F501" t="str">
            <v>Sales &amp; Marketing</v>
          </cell>
          <cell r="G501" t="str">
            <v>Territory Sales Manager</v>
          </cell>
        </row>
        <row r="502">
          <cell r="B502">
            <v>382617</v>
          </cell>
          <cell r="C502" t="str">
            <v>R1973</v>
          </cell>
          <cell r="D502" t="str">
            <v>Saifuddin Ahmmed</v>
          </cell>
          <cell r="E502">
            <v>382617</v>
          </cell>
          <cell r="F502" t="str">
            <v>Internal Audit &amp; Compliance</v>
          </cell>
          <cell r="G502" t="str">
            <v>Senior Executive</v>
          </cell>
        </row>
        <row r="503">
          <cell r="B503">
            <v>382697</v>
          </cell>
          <cell r="C503" t="str">
            <v>FR2557</v>
          </cell>
          <cell r="D503" t="str">
            <v>Feroz Kabir</v>
          </cell>
          <cell r="E503">
            <v>382697</v>
          </cell>
          <cell r="F503" t="str">
            <v>Vat Department</v>
          </cell>
          <cell r="G503" t="str">
            <v>Executive</v>
          </cell>
        </row>
        <row r="504">
          <cell r="B504">
            <v>382752</v>
          </cell>
          <cell r="C504" t="str">
            <v>FR2560</v>
          </cell>
          <cell r="D504" t="str">
            <v>Mohammad Ali Hossain</v>
          </cell>
          <cell r="E504">
            <v>382752</v>
          </cell>
          <cell r="F504" t="str">
            <v>Quality Control</v>
          </cell>
          <cell r="G504" t="str">
            <v>Executive</v>
          </cell>
        </row>
        <row r="505">
          <cell r="B505">
            <v>382757</v>
          </cell>
          <cell r="C505" t="str">
            <v>FR2565</v>
          </cell>
          <cell r="D505" t="str">
            <v>Md. Mohidur Rahman</v>
          </cell>
          <cell r="E505">
            <v>382757</v>
          </cell>
          <cell r="F505" t="str">
            <v>Quality Control</v>
          </cell>
          <cell r="G505" t="str">
            <v>Microbiologist</v>
          </cell>
        </row>
        <row r="506">
          <cell r="B506">
            <v>382764</v>
          </cell>
          <cell r="C506" t="str">
            <v>R1978</v>
          </cell>
          <cell r="D506" t="str">
            <v>Md. Rokonuzzaman Hera</v>
          </cell>
          <cell r="E506">
            <v>382764</v>
          </cell>
          <cell r="F506" t="str">
            <v xml:space="preserve">Cooler Management </v>
          </cell>
          <cell r="G506" t="str">
            <v>Junior Executive</v>
          </cell>
        </row>
        <row r="507">
          <cell r="B507">
            <v>383162</v>
          </cell>
          <cell r="C507" t="str">
            <v>FR2569</v>
          </cell>
          <cell r="D507" t="str">
            <v>Md. Mizanur Rahman</v>
          </cell>
          <cell r="E507">
            <v>383162</v>
          </cell>
          <cell r="F507" t="str">
            <v>Export</v>
          </cell>
          <cell r="G507" t="str">
            <v>Executive</v>
          </cell>
        </row>
        <row r="508">
          <cell r="B508">
            <v>386773</v>
          </cell>
          <cell r="C508" t="str">
            <v>R1987</v>
          </cell>
          <cell r="D508" t="str">
            <v>Md. Anamul Hoque</v>
          </cell>
          <cell r="E508">
            <v>386773</v>
          </cell>
          <cell r="F508" t="str">
            <v>Clemon Sports</v>
          </cell>
          <cell r="G508" t="str">
            <v>Assistant Manager</v>
          </cell>
        </row>
        <row r="509">
          <cell r="B509">
            <v>386780</v>
          </cell>
          <cell r="C509" t="str">
            <v>FR2575</v>
          </cell>
          <cell r="D509" t="str">
            <v>Md. Towhid Ul Islam</v>
          </cell>
          <cell r="E509">
            <v>386780</v>
          </cell>
          <cell r="F509" t="str">
            <v>Electrical</v>
          </cell>
          <cell r="G509" t="str">
            <v>Senior Engineer</v>
          </cell>
        </row>
        <row r="510">
          <cell r="B510">
            <v>386783</v>
          </cell>
          <cell r="C510" t="str">
            <v>FR2576</v>
          </cell>
          <cell r="D510" t="str">
            <v>Iqbal Hosen</v>
          </cell>
          <cell r="E510">
            <v>386783</v>
          </cell>
          <cell r="F510" t="str">
            <v>Electrical</v>
          </cell>
          <cell r="G510" t="str">
            <v>Senior Engineer</v>
          </cell>
        </row>
        <row r="511">
          <cell r="B511">
            <v>386793</v>
          </cell>
          <cell r="C511" t="str">
            <v>FR2579</v>
          </cell>
          <cell r="D511" t="str">
            <v>Mir Maskat Paban</v>
          </cell>
          <cell r="E511">
            <v>386793</v>
          </cell>
          <cell r="F511" t="str">
            <v>Resource</v>
          </cell>
          <cell r="G511" t="str">
            <v>Junior Executive</v>
          </cell>
        </row>
        <row r="512">
          <cell r="B512">
            <v>386969</v>
          </cell>
          <cell r="C512" t="str">
            <v>AFBL(Marketing)-3635</v>
          </cell>
          <cell r="D512" t="str">
            <v>Md. Nabirul Islam</v>
          </cell>
          <cell r="E512">
            <v>386969</v>
          </cell>
          <cell r="F512" t="str">
            <v>Sales &amp; Marketing</v>
          </cell>
          <cell r="G512" t="str">
            <v>Territory Sales Manager</v>
          </cell>
        </row>
        <row r="513">
          <cell r="B513">
            <v>388620</v>
          </cell>
          <cell r="C513" t="str">
            <v>FR2600</v>
          </cell>
          <cell r="D513" t="str">
            <v>Md. Ariful Islam</v>
          </cell>
          <cell r="E513">
            <v>388620</v>
          </cell>
          <cell r="F513" t="str">
            <v>Quality Control</v>
          </cell>
          <cell r="G513" t="str">
            <v>Junior Executive</v>
          </cell>
        </row>
        <row r="514">
          <cell r="B514">
            <v>389596</v>
          </cell>
          <cell r="C514" t="str">
            <v>AFBL(Marketing)-3702</v>
          </cell>
          <cell r="D514" t="str">
            <v xml:space="preserve">Md. Bipul Hossen </v>
          </cell>
          <cell r="E514">
            <v>389596</v>
          </cell>
          <cell r="F514" t="str">
            <v>Sales &amp; Marketing</v>
          </cell>
          <cell r="G514" t="str">
            <v>Territory Sales Manager</v>
          </cell>
        </row>
        <row r="515">
          <cell r="B515">
            <v>389609</v>
          </cell>
          <cell r="C515" t="str">
            <v>AFBL(Marketing)-3706</v>
          </cell>
          <cell r="D515" t="str">
            <v>Kishor Chandra</v>
          </cell>
          <cell r="E515">
            <v>389609</v>
          </cell>
          <cell r="F515" t="str">
            <v>Sales &amp; Marketing</v>
          </cell>
          <cell r="G515" t="str">
            <v>Territory Sales Manager</v>
          </cell>
        </row>
        <row r="516">
          <cell r="B516">
            <v>390151</v>
          </cell>
          <cell r="C516" t="str">
            <v>AFBL(Marketing)-3743</v>
          </cell>
          <cell r="D516" t="str">
            <v>Md. Hasan Kazi</v>
          </cell>
          <cell r="E516">
            <v>390151</v>
          </cell>
          <cell r="F516" t="str">
            <v>Sales &amp; Marketing</v>
          </cell>
          <cell r="G516" t="str">
            <v>Territory Sales Manager</v>
          </cell>
        </row>
        <row r="517">
          <cell r="B517">
            <v>391795</v>
          </cell>
          <cell r="C517" t="str">
            <v>R2004</v>
          </cell>
          <cell r="D517" t="str">
            <v>Nur Mohammad</v>
          </cell>
          <cell r="E517">
            <v>391795</v>
          </cell>
          <cell r="F517" t="str">
            <v>Supply Chain</v>
          </cell>
          <cell r="G517" t="str">
            <v>Executive</v>
          </cell>
        </row>
        <row r="518">
          <cell r="B518">
            <v>396500</v>
          </cell>
          <cell r="C518" t="str">
            <v>R2023</v>
          </cell>
          <cell r="D518" t="str">
            <v>Mir Tariqul Islam</v>
          </cell>
          <cell r="E518">
            <v>396500</v>
          </cell>
          <cell r="F518" t="str">
            <v>Commercial</v>
          </cell>
          <cell r="G518" t="str">
            <v>Senior Executive</v>
          </cell>
        </row>
        <row r="519">
          <cell r="B519">
            <v>398107</v>
          </cell>
          <cell r="C519" t="str">
            <v>FR2676</v>
          </cell>
          <cell r="D519" t="str">
            <v>AbuTaleb</v>
          </cell>
          <cell r="E519">
            <v>398107</v>
          </cell>
          <cell r="F519" t="str">
            <v>CSD</v>
          </cell>
          <cell r="G519" t="str">
            <v>Assistant Engineer</v>
          </cell>
        </row>
        <row r="520">
          <cell r="B520">
            <v>398148</v>
          </cell>
          <cell r="C520" t="str">
            <v>FR2682</v>
          </cell>
          <cell r="D520" t="str">
            <v>Md. Manik Hossain</v>
          </cell>
          <cell r="E520">
            <v>398148</v>
          </cell>
          <cell r="F520" t="str">
            <v>ETP</v>
          </cell>
          <cell r="G520" t="str">
            <v>Junior Executive</v>
          </cell>
        </row>
        <row r="521">
          <cell r="B521">
            <v>401711</v>
          </cell>
          <cell r="C521" t="str">
            <v>R2041</v>
          </cell>
          <cell r="D521" t="str">
            <v>Md. Mosqur Arefin</v>
          </cell>
          <cell r="E521">
            <v>401711</v>
          </cell>
          <cell r="F521" t="str">
            <v>Market Audit &amp; Business Intelligence</v>
          </cell>
          <cell r="G521" t="str">
            <v>Senior Executive</v>
          </cell>
        </row>
        <row r="522">
          <cell r="B522">
            <v>403117</v>
          </cell>
          <cell r="C522" t="str">
            <v>R2050</v>
          </cell>
          <cell r="D522" t="str">
            <v>Md. Rafiqul Islam</v>
          </cell>
          <cell r="E522">
            <v>403117</v>
          </cell>
          <cell r="F522" t="str">
            <v>Outdoor Management</v>
          </cell>
          <cell r="G522" t="str">
            <v>Senior Executive</v>
          </cell>
        </row>
        <row r="523">
          <cell r="B523">
            <v>414786</v>
          </cell>
          <cell r="C523" t="str">
            <v>AFBL(Marketing)-3871</v>
          </cell>
          <cell r="D523" t="str">
            <v>Md. Humaun Kabir</v>
          </cell>
          <cell r="E523">
            <v>414786</v>
          </cell>
          <cell r="F523" t="str">
            <v>Sales &amp; Marketing</v>
          </cell>
          <cell r="G523" t="str">
            <v>Area Sales Manager</v>
          </cell>
        </row>
        <row r="524">
          <cell r="B524">
            <v>414802</v>
          </cell>
          <cell r="C524" t="str">
            <v>AFBL(Marketing)-3885</v>
          </cell>
          <cell r="D524" t="str">
            <v>Md. Billal Hossain</v>
          </cell>
          <cell r="E524">
            <v>414802</v>
          </cell>
          <cell r="F524" t="str">
            <v>Sales &amp; Marketing</v>
          </cell>
          <cell r="G524" t="str">
            <v>Territory Sales Manager</v>
          </cell>
        </row>
        <row r="525">
          <cell r="B525">
            <v>415056</v>
          </cell>
          <cell r="C525" t="str">
            <v>R2077</v>
          </cell>
          <cell r="D525" t="str">
            <v>Saleh Newaz</v>
          </cell>
          <cell r="E525">
            <v>415056</v>
          </cell>
          <cell r="F525" t="str">
            <v>Accounts And Finance</v>
          </cell>
          <cell r="G525" t="str">
            <v>Senior Executive</v>
          </cell>
        </row>
        <row r="526">
          <cell r="B526">
            <v>418140</v>
          </cell>
          <cell r="C526" t="str">
            <v>R2083</v>
          </cell>
          <cell r="D526" t="str">
            <v>Sajal Mia</v>
          </cell>
          <cell r="E526">
            <v>418140</v>
          </cell>
          <cell r="F526" t="str">
            <v xml:space="preserve">Cooler Management </v>
          </cell>
          <cell r="G526" t="str">
            <v>Executive</v>
          </cell>
        </row>
        <row r="527">
          <cell r="B527">
            <v>418141</v>
          </cell>
          <cell r="C527" t="str">
            <v>R2084</v>
          </cell>
          <cell r="D527" t="str">
            <v>Md. Akib Hossain</v>
          </cell>
          <cell r="E527">
            <v>418141</v>
          </cell>
          <cell r="F527" t="str">
            <v xml:space="preserve">Cooler Management </v>
          </cell>
          <cell r="G527" t="str">
            <v>Executive</v>
          </cell>
        </row>
        <row r="528">
          <cell r="B528">
            <v>418195</v>
          </cell>
          <cell r="C528" t="str">
            <v>AFBL(Marketing)-3896</v>
          </cell>
          <cell r="D528" t="str">
            <v>Md. Abul Kalam</v>
          </cell>
          <cell r="E528">
            <v>418195</v>
          </cell>
          <cell r="F528" t="str">
            <v>Sales &amp; Marketing</v>
          </cell>
          <cell r="G528" t="str">
            <v>Territory Sales Manager</v>
          </cell>
        </row>
        <row r="529">
          <cell r="B529">
            <v>418281</v>
          </cell>
          <cell r="C529" t="str">
            <v>FR2705</v>
          </cell>
          <cell r="D529" t="str">
            <v>Md.Abdul Awal</v>
          </cell>
          <cell r="E529">
            <v>418281</v>
          </cell>
          <cell r="F529" t="str">
            <v>Distribution</v>
          </cell>
          <cell r="G529" t="str">
            <v>Executive</v>
          </cell>
        </row>
        <row r="530">
          <cell r="B530">
            <v>419787</v>
          </cell>
          <cell r="C530" t="str">
            <v>AGRO-336</v>
          </cell>
          <cell r="D530" t="str">
            <v>Md. Raihanul Kabir</v>
          </cell>
          <cell r="E530">
            <v>419787</v>
          </cell>
          <cell r="F530" t="str">
            <v>HR &amp; Admin</v>
          </cell>
          <cell r="G530" t="str">
            <v>Junior Executive</v>
          </cell>
        </row>
        <row r="531">
          <cell r="B531">
            <v>420938</v>
          </cell>
          <cell r="C531" t="str">
            <v>R2096</v>
          </cell>
          <cell r="D531" t="str">
            <v>Tanzina Akter Sumi</v>
          </cell>
          <cell r="E531">
            <v>420938</v>
          </cell>
          <cell r="F531" t="str">
            <v>Sales Admin</v>
          </cell>
          <cell r="G531" t="str">
            <v>Senior Executive</v>
          </cell>
        </row>
        <row r="532">
          <cell r="B532">
            <v>422825</v>
          </cell>
          <cell r="C532" t="str">
            <v>FR2713</v>
          </cell>
          <cell r="D532" t="str">
            <v>Md. Abdul Hai</v>
          </cell>
          <cell r="E532">
            <v>422825</v>
          </cell>
          <cell r="F532" t="str">
            <v>Quality Control</v>
          </cell>
          <cell r="G532" t="str">
            <v>Executive</v>
          </cell>
        </row>
        <row r="533">
          <cell r="B533">
            <v>422826</v>
          </cell>
          <cell r="C533" t="str">
            <v>FR2714</v>
          </cell>
          <cell r="D533" t="str">
            <v>Md. Abid Hasan</v>
          </cell>
          <cell r="E533">
            <v>422826</v>
          </cell>
          <cell r="F533" t="str">
            <v>Functional Food and Beverage RnD</v>
          </cell>
          <cell r="G533" t="str">
            <v>Senior Executive</v>
          </cell>
        </row>
        <row r="534">
          <cell r="B534">
            <v>422971</v>
          </cell>
          <cell r="C534" t="str">
            <v>AFBL(Marketing)-4021</v>
          </cell>
          <cell r="D534" t="str">
            <v>Md. Abdur Rashid</v>
          </cell>
          <cell r="E534">
            <v>422971</v>
          </cell>
          <cell r="F534" t="str">
            <v>Sales &amp; Marketing</v>
          </cell>
          <cell r="G534" t="str">
            <v>Territory Sales Manager</v>
          </cell>
        </row>
        <row r="535">
          <cell r="B535">
            <v>422978</v>
          </cell>
          <cell r="C535" t="str">
            <v>AFBL(Marketing)-4028</v>
          </cell>
          <cell r="D535" t="str">
            <v>Md. Monirul Islam</v>
          </cell>
          <cell r="E535">
            <v>422978</v>
          </cell>
          <cell r="F535" t="str">
            <v>Sales &amp; Marketing</v>
          </cell>
          <cell r="G535" t="str">
            <v>Territory Sales Manager</v>
          </cell>
        </row>
        <row r="536">
          <cell r="B536">
            <v>423385</v>
          </cell>
          <cell r="C536" t="str">
            <v>AFBL(Marketing)-4074</v>
          </cell>
          <cell r="D536" t="str">
            <v>Md. Shamimul Islam</v>
          </cell>
          <cell r="E536">
            <v>423385</v>
          </cell>
          <cell r="F536" t="str">
            <v>Sales &amp; Marketing</v>
          </cell>
          <cell r="G536" t="str">
            <v>Territory Sales Manager</v>
          </cell>
        </row>
        <row r="537">
          <cell r="B537">
            <v>423390</v>
          </cell>
          <cell r="C537" t="str">
            <v>AFBL(Marketing)-4078</v>
          </cell>
          <cell r="D537" t="str">
            <v>Prosanto Kumar</v>
          </cell>
          <cell r="E537">
            <v>423390</v>
          </cell>
          <cell r="F537" t="str">
            <v>Sales &amp; Marketing</v>
          </cell>
          <cell r="G537" t="str">
            <v>Territory Sales Manager</v>
          </cell>
        </row>
        <row r="538">
          <cell r="B538">
            <v>423742</v>
          </cell>
          <cell r="C538" t="str">
            <v>AFBL(Marketing)-4102</v>
          </cell>
          <cell r="D538" t="str">
            <v>Md. Ariful Islam</v>
          </cell>
          <cell r="E538">
            <v>423742</v>
          </cell>
          <cell r="F538" t="str">
            <v>Sales &amp; Marketing</v>
          </cell>
          <cell r="G538" t="str">
            <v>Territory Sales Manager</v>
          </cell>
        </row>
        <row r="539">
          <cell r="B539">
            <v>425564</v>
          </cell>
          <cell r="C539" t="str">
            <v>AFBL(Marketing)-4180</v>
          </cell>
          <cell r="D539" t="str">
            <v>Md. Faruk Hossain</v>
          </cell>
          <cell r="E539">
            <v>425564</v>
          </cell>
          <cell r="F539" t="str">
            <v>Sales &amp; Marketing</v>
          </cell>
          <cell r="G539" t="str">
            <v>Territory Sales Manager</v>
          </cell>
        </row>
        <row r="540">
          <cell r="B540">
            <v>425571</v>
          </cell>
          <cell r="C540" t="str">
            <v>AFBL(Marketing)-4169</v>
          </cell>
          <cell r="D540" t="str">
            <v>Mir Hafijul Islam</v>
          </cell>
          <cell r="E540">
            <v>425571</v>
          </cell>
          <cell r="F540" t="str">
            <v>Sales &amp; Marketing</v>
          </cell>
          <cell r="G540" t="str">
            <v>Territory Sales Manager</v>
          </cell>
        </row>
        <row r="541">
          <cell r="B541">
            <v>425607</v>
          </cell>
          <cell r="C541" t="str">
            <v>AFBL(Marketing)-4154</v>
          </cell>
          <cell r="D541" t="str">
            <v>Md. Shahinur Alam</v>
          </cell>
          <cell r="E541">
            <v>425607</v>
          </cell>
          <cell r="F541" t="str">
            <v>Sales &amp; Marketing</v>
          </cell>
          <cell r="G541" t="str">
            <v>Territory Sales Manager</v>
          </cell>
        </row>
        <row r="542">
          <cell r="B542">
            <v>429443</v>
          </cell>
          <cell r="C542" t="str">
            <v>R2131</v>
          </cell>
          <cell r="D542" t="str">
            <v>Md. Sohel Rana</v>
          </cell>
          <cell r="E542">
            <v>429443</v>
          </cell>
          <cell r="F542" t="str">
            <v>Internal Audit &amp; Compliance</v>
          </cell>
          <cell r="G542" t="str">
            <v>Assistant Manager</v>
          </cell>
        </row>
        <row r="543">
          <cell r="B543">
            <v>429452</v>
          </cell>
          <cell r="C543" t="str">
            <v>AFBL(Marketing)-4354</v>
          </cell>
          <cell r="D543" t="str">
            <v>Md. Shohel Rana</v>
          </cell>
          <cell r="E543">
            <v>429452</v>
          </cell>
          <cell r="F543" t="str">
            <v>Distribution</v>
          </cell>
          <cell r="G543" t="str">
            <v>Junior Executive</v>
          </cell>
        </row>
        <row r="544">
          <cell r="B544">
            <v>430864</v>
          </cell>
          <cell r="C544" t="str">
            <v>R2142</v>
          </cell>
          <cell r="D544" t="str">
            <v>Kamal Hossain</v>
          </cell>
          <cell r="E544">
            <v>430864</v>
          </cell>
          <cell r="F544" t="str">
            <v>Internal Audit &amp; Compliance</v>
          </cell>
          <cell r="G544" t="str">
            <v>Assistant Manager</v>
          </cell>
        </row>
        <row r="545">
          <cell r="B545">
            <v>430916</v>
          </cell>
          <cell r="C545" t="str">
            <v>FR2762</v>
          </cell>
          <cell r="D545" t="str">
            <v>Md.Mostaquzzaman</v>
          </cell>
          <cell r="E545">
            <v>430916</v>
          </cell>
          <cell r="F545" t="str">
            <v>Security</v>
          </cell>
          <cell r="G545" t="str">
            <v>Assistant Manager</v>
          </cell>
        </row>
        <row r="546">
          <cell r="B546">
            <v>430935</v>
          </cell>
          <cell r="C546" t="str">
            <v>AFBL(Marketing)-4368</v>
          </cell>
          <cell r="D546" t="str">
            <v>Sohel Rana</v>
          </cell>
          <cell r="E546">
            <v>430935</v>
          </cell>
          <cell r="F546" t="str">
            <v>Sales &amp; Marketing</v>
          </cell>
          <cell r="G546" t="str">
            <v>Territory Sales Manager</v>
          </cell>
        </row>
        <row r="547">
          <cell r="B547">
            <v>430937</v>
          </cell>
          <cell r="C547" t="str">
            <v>AFBL(Marketing)-4369</v>
          </cell>
          <cell r="D547" t="str">
            <v>Md. Mazudul Islam Mamun</v>
          </cell>
          <cell r="E547">
            <v>430937</v>
          </cell>
          <cell r="F547" t="str">
            <v>Sales &amp; Marketing</v>
          </cell>
          <cell r="G547" t="str">
            <v>Territory Sales Manager</v>
          </cell>
        </row>
        <row r="548">
          <cell r="B548">
            <v>431041</v>
          </cell>
          <cell r="C548" t="str">
            <v>FR2764</v>
          </cell>
          <cell r="D548" t="str">
            <v>Tushar Ojha</v>
          </cell>
          <cell r="E548">
            <v>431041</v>
          </cell>
          <cell r="F548" t="str">
            <v>Aseptic Juice</v>
          </cell>
          <cell r="G548" t="str">
            <v>Senior Executive</v>
          </cell>
        </row>
        <row r="549">
          <cell r="B549">
            <v>431043</v>
          </cell>
          <cell r="C549" t="str">
            <v>FR2766</v>
          </cell>
          <cell r="D549" t="str">
            <v>Md. Farhad Hossain</v>
          </cell>
          <cell r="E549">
            <v>431043</v>
          </cell>
          <cell r="F549" t="str">
            <v>Quality Control</v>
          </cell>
          <cell r="G549" t="str">
            <v>Junior Executive</v>
          </cell>
        </row>
        <row r="550">
          <cell r="B550">
            <v>431603</v>
          </cell>
          <cell r="C550" t="str">
            <v>FR2771</v>
          </cell>
          <cell r="D550" t="str">
            <v>Md. Aslam Hossain</v>
          </cell>
          <cell r="E550">
            <v>431603</v>
          </cell>
          <cell r="F550" t="str">
            <v>Vat Department</v>
          </cell>
          <cell r="G550" t="str">
            <v>Executive</v>
          </cell>
        </row>
        <row r="551">
          <cell r="B551">
            <v>432532</v>
          </cell>
          <cell r="C551" t="str">
            <v>FR2783</v>
          </cell>
          <cell r="D551" t="str">
            <v>Md. Moniruzzaman Kajol</v>
          </cell>
          <cell r="E551">
            <v>432532</v>
          </cell>
          <cell r="F551" t="str">
            <v>Quality Control</v>
          </cell>
          <cell r="G551" t="str">
            <v>Executive</v>
          </cell>
        </row>
        <row r="552">
          <cell r="B552">
            <v>432536</v>
          </cell>
          <cell r="C552" t="str">
            <v>FR2785</v>
          </cell>
          <cell r="D552" t="str">
            <v>Md. Nayem</v>
          </cell>
          <cell r="E552">
            <v>432536</v>
          </cell>
          <cell r="F552" t="str">
            <v>Drinking Water Plant</v>
          </cell>
          <cell r="G552" t="str">
            <v>Executive</v>
          </cell>
        </row>
        <row r="553">
          <cell r="B553">
            <v>435713</v>
          </cell>
          <cell r="C553" t="str">
            <v>AFBL(Marketing)-4508</v>
          </cell>
          <cell r="D553" t="str">
            <v>Habibur Rahman</v>
          </cell>
          <cell r="E553">
            <v>435713</v>
          </cell>
          <cell r="F553" t="str">
            <v>Sales &amp; Marketing</v>
          </cell>
          <cell r="G553" t="str">
            <v>Area Sales Manager</v>
          </cell>
        </row>
        <row r="554">
          <cell r="B554">
            <v>435731</v>
          </cell>
          <cell r="C554" t="str">
            <v>AFBL(Marketing)-4519</v>
          </cell>
          <cell r="D554" t="str">
            <v>Md. Mohinur Rahman</v>
          </cell>
          <cell r="E554">
            <v>435731</v>
          </cell>
          <cell r="F554" t="str">
            <v>Sales &amp; Marketing</v>
          </cell>
          <cell r="G554" t="str">
            <v>Territory Sales Manager</v>
          </cell>
        </row>
        <row r="555">
          <cell r="B555">
            <v>435799</v>
          </cell>
          <cell r="C555" t="str">
            <v>AFBL(Marketing)-4522</v>
          </cell>
          <cell r="D555" t="str">
            <v>Mizu Ahammed</v>
          </cell>
          <cell r="E555">
            <v>435799</v>
          </cell>
          <cell r="F555" t="str">
            <v>Sales &amp; Marketing</v>
          </cell>
          <cell r="G555" t="str">
            <v>Territory Sales Manager</v>
          </cell>
        </row>
        <row r="556">
          <cell r="B556">
            <v>443788</v>
          </cell>
          <cell r="C556" t="str">
            <v>AFBL(Marketing)-4595</v>
          </cell>
          <cell r="D556" t="str">
            <v>Mosiur Rahman</v>
          </cell>
          <cell r="E556">
            <v>443788</v>
          </cell>
          <cell r="F556" t="str">
            <v>Sales &amp; Marketing</v>
          </cell>
          <cell r="G556" t="str">
            <v>Territory Sales Manager</v>
          </cell>
        </row>
        <row r="557">
          <cell r="B557">
            <v>453237</v>
          </cell>
          <cell r="C557" t="str">
            <v>AFBL(Marketing)-4668</v>
          </cell>
          <cell r="D557" t="str">
            <v>Sohag Hossain</v>
          </cell>
          <cell r="E557">
            <v>453237</v>
          </cell>
          <cell r="F557" t="str">
            <v>Sales &amp; Marketing</v>
          </cell>
          <cell r="G557" t="str">
            <v>Territory Sales Manager</v>
          </cell>
        </row>
        <row r="558">
          <cell r="B558">
            <v>454795</v>
          </cell>
          <cell r="C558" t="str">
            <v>AFBL(Marketing)-4714</v>
          </cell>
          <cell r="D558" t="str">
            <v>Zakaria Hossain</v>
          </cell>
          <cell r="E558">
            <v>454795</v>
          </cell>
          <cell r="F558" t="str">
            <v>Sales &amp; Marketing</v>
          </cell>
          <cell r="G558" t="str">
            <v>Territory Sales Manager</v>
          </cell>
        </row>
        <row r="559">
          <cell r="B559">
            <v>456348</v>
          </cell>
          <cell r="C559" t="str">
            <v>FR2928</v>
          </cell>
          <cell r="D559" t="str">
            <v>Md. Juwel Sardar</v>
          </cell>
          <cell r="E559">
            <v>456348</v>
          </cell>
          <cell r="F559" t="str">
            <v>Recycling</v>
          </cell>
          <cell r="G559" t="str">
            <v>Junior Executive</v>
          </cell>
        </row>
        <row r="560">
          <cell r="B560">
            <v>457855</v>
          </cell>
          <cell r="C560" t="str">
            <v>FR2943</v>
          </cell>
          <cell r="D560" t="str">
            <v>Shahidul Islam</v>
          </cell>
          <cell r="E560">
            <v>457855</v>
          </cell>
          <cell r="F560" t="str">
            <v>Electrical</v>
          </cell>
          <cell r="G560" t="str">
            <v>Engineer</v>
          </cell>
        </row>
        <row r="561">
          <cell r="B561">
            <v>458187</v>
          </cell>
          <cell r="C561" t="str">
            <v>R2234</v>
          </cell>
          <cell r="D561" t="str">
            <v>Golam Maola</v>
          </cell>
          <cell r="E561">
            <v>458187</v>
          </cell>
          <cell r="F561" t="str">
            <v>Internal Audit &amp; Compliance</v>
          </cell>
          <cell r="G561" t="str">
            <v>Assistant Manager</v>
          </cell>
        </row>
        <row r="562">
          <cell r="B562">
            <v>458188</v>
          </cell>
          <cell r="C562" t="str">
            <v>R2235</v>
          </cell>
          <cell r="D562" t="str">
            <v>Md. Ataul Bin Gani</v>
          </cell>
          <cell r="E562">
            <v>458188</v>
          </cell>
          <cell r="F562" t="str">
            <v>Internal Audit &amp; Compliance</v>
          </cell>
          <cell r="G562" t="str">
            <v>Senior Executive</v>
          </cell>
        </row>
        <row r="563">
          <cell r="B563">
            <v>458189</v>
          </cell>
          <cell r="C563" t="str">
            <v>R2236</v>
          </cell>
          <cell r="D563" t="str">
            <v>Md. Sobuj Shah</v>
          </cell>
          <cell r="E563">
            <v>458189</v>
          </cell>
          <cell r="F563" t="str">
            <v xml:space="preserve">Cooler Management </v>
          </cell>
          <cell r="G563" t="str">
            <v>Junior Executive</v>
          </cell>
        </row>
        <row r="564">
          <cell r="B564">
            <v>458427</v>
          </cell>
          <cell r="C564" t="str">
            <v>R2239</v>
          </cell>
          <cell r="D564" t="str">
            <v>Md. Bulbul Islam</v>
          </cell>
          <cell r="E564">
            <v>458427</v>
          </cell>
          <cell r="F564" t="str">
            <v>Internal Audit &amp; Compliance</v>
          </cell>
          <cell r="G564" t="str">
            <v>Senior Executive</v>
          </cell>
        </row>
        <row r="565">
          <cell r="B565">
            <v>458656</v>
          </cell>
          <cell r="C565" t="str">
            <v>FR2979</v>
          </cell>
          <cell r="D565" t="str">
            <v>Md.Monnaf Hossain</v>
          </cell>
          <cell r="E565">
            <v>458656</v>
          </cell>
          <cell r="F565" t="str">
            <v>Aseptic Juice</v>
          </cell>
          <cell r="G565" t="str">
            <v>Senior Executive</v>
          </cell>
        </row>
        <row r="566">
          <cell r="B566">
            <v>458885</v>
          </cell>
          <cell r="C566" t="str">
            <v>R2242</v>
          </cell>
          <cell r="D566" t="str">
            <v>Md. Sofiul Islam</v>
          </cell>
          <cell r="E566">
            <v>458885</v>
          </cell>
          <cell r="F566" t="str">
            <v>Outdoor Management</v>
          </cell>
          <cell r="G566" t="str">
            <v>Senior Executive</v>
          </cell>
        </row>
        <row r="567">
          <cell r="B567">
            <v>459167</v>
          </cell>
          <cell r="C567" t="str">
            <v>AFBL(Marketing)-4790</v>
          </cell>
          <cell r="D567" t="str">
            <v>Md. Atoar Rahman</v>
          </cell>
          <cell r="E567">
            <v>459167</v>
          </cell>
          <cell r="F567" t="str">
            <v>Sales &amp; Marketing</v>
          </cell>
          <cell r="G567" t="str">
            <v>Territory Sales Manager</v>
          </cell>
        </row>
        <row r="568">
          <cell r="B568">
            <v>459173</v>
          </cell>
          <cell r="C568" t="str">
            <v>AFBL(Marketing)-4796</v>
          </cell>
          <cell r="D568" t="str">
            <v>Md. Jahid Hossain</v>
          </cell>
          <cell r="E568">
            <v>459173</v>
          </cell>
          <cell r="F568" t="str">
            <v>Sales &amp; Marketing</v>
          </cell>
          <cell r="G568" t="str">
            <v>Territory Sales Manager</v>
          </cell>
        </row>
        <row r="569">
          <cell r="B569">
            <v>459174</v>
          </cell>
          <cell r="C569" t="str">
            <v>AFBL(Marketing)-4797</v>
          </cell>
          <cell r="D569" t="str">
            <v>Md. Sirazul Islam</v>
          </cell>
          <cell r="E569">
            <v>459174</v>
          </cell>
          <cell r="F569" t="str">
            <v>Sales &amp; Marketing</v>
          </cell>
          <cell r="G569" t="str">
            <v>Area Sales Manager</v>
          </cell>
        </row>
        <row r="570">
          <cell r="B570">
            <v>459175</v>
          </cell>
          <cell r="C570" t="str">
            <v>AFBL(Marketing)-4798</v>
          </cell>
          <cell r="D570" t="str">
            <v>Md. Ainul Haque</v>
          </cell>
          <cell r="E570">
            <v>459175</v>
          </cell>
          <cell r="F570" t="str">
            <v>Sales &amp; Marketing</v>
          </cell>
          <cell r="G570" t="str">
            <v>Area Sales Manager</v>
          </cell>
        </row>
        <row r="571">
          <cell r="B571">
            <v>459178</v>
          </cell>
          <cell r="C571" t="str">
            <v>AFBL(Marketing)-4801</v>
          </cell>
          <cell r="D571" t="str">
            <v>Md. Kamrul Hassan</v>
          </cell>
          <cell r="E571">
            <v>459178</v>
          </cell>
          <cell r="F571" t="str">
            <v>Sales &amp; Marketing</v>
          </cell>
          <cell r="G571" t="str">
            <v>Territory Sales Manager</v>
          </cell>
        </row>
        <row r="572">
          <cell r="B572">
            <v>459597</v>
          </cell>
          <cell r="C572" t="str">
            <v>R2249</v>
          </cell>
          <cell r="D572" t="str">
            <v>Md. Anower Morshed</v>
          </cell>
          <cell r="E572">
            <v>459597</v>
          </cell>
          <cell r="F572" t="str">
            <v>Creative</v>
          </cell>
          <cell r="G572" t="str">
            <v>Manager</v>
          </cell>
        </row>
        <row r="573">
          <cell r="B573">
            <v>459600</v>
          </cell>
          <cell r="C573" t="str">
            <v>R2250</v>
          </cell>
          <cell r="D573" t="str">
            <v>Richard Shorave Sunny</v>
          </cell>
          <cell r="E573">
            <v>459600</v>
          </cell>
          <cell r="F573" t="str">
            <v>Creative</v>
          </cell>
          <cell r="G573" t="str">
            <v>Executive</v>
          </cell>
        </row>
        <row r="574">
          <cell r="B574">
            <v>459956</v>
          </cell>
          <cell r="C574" t="str">
            <v>AFBL(Marketing)-4804</v>
          </cell>
          <cell r="D574" t="str">
            <v>S. M. Mahbub Hasan</v>
          </cell>
          <cell r="E574">
            <v>459956</v>
          </cell>
          <cell r="F574" t="str">
            <v>Sales &amp; Marketing</v>
          </cell>
          <cell r="G574" t="str">
            <v>Regional Sales Manager</v>
          </cell>
        </row>
        <row r="575">
          <cell r="B575">
            <v>460511</v>
          </cell>
          <cell r="C575" t="str">
            <v>FR3013</v>
          </cell>
          <cell r="D575" t="str">
            <v xml:space="preserve">Md. Imran Hossain </v>
          </cell>
          <cell r="E575">
            <v>460511</v>
          </cell>
          <cell r="F575" t="str">
            <v>Store</v>
          </cell>
          <cell r="G575" t="str">
            <v>Junior Executive</v>
          </cell>
        </row>
        <row r="576">
          <cell r="B576">
            <v>461267</v>
          </cell>
          <cell r="C576" t="str">
            <v>R2266</v>
          </cell>
          <cell r="D576" t="str">
            <v>Md. Mojaffar Ali</v>
          </cell>
          <cell r="E576">
            <v>461267</v>
          </cell>
          <cell r="F576" t="str">
            <v>Fair Price Shop</v>
          </cell>
          <cell r="G576" t="str">
            <v>Executive</v>
          </cell>
        </row>
        <row r="577">
          <cell r="B577">
            <v>461594</v>
          </cell>
          <cell r="C577" t="str">
            <v>FR3035</v>
          </cell>
          <cell r="D577" t="str">
            <v>Biplab Bishwas</v>
          </cell>
          <cell r="E577">
            <v>461594</v>
          </cell>
          <cell r="F577" t="str">
            <v xml:space="preserve">Power </v>
          </cell>
          <cell r="G577" t="str">
            <v>Assistant Engineer</v>
          </cell>
        </row>
        <row r="578">
          <cell r="B578">
            <v>462400</v>
          </cell>
          <cell r="C578" t="str">
            <v>FR3049</v>
          </cell>
          <cell r="D578" t="str">
            <v>Locknath Chandra Das</v>
          </cell>
          <cell r="E578">
            <v>462400</v>
          </cell>
          <cell r="F578" t="str">
            <v>CSD</v>
          </cell>
          <cell r="G578" t="str">
            <v>Senior Executive</v>
          </cell>
        </row>
        <row r="579">
          <cell r="B579">
            <v>462561</v>
          </cell>
          <cell r="C579" t="str">
            <v>R2287</v>
          </cell>
          <cell r="D579" t="str">
            <v>Md. Rashal Ahmed</v>
          </cell>
          <cell r="E579">
            <v>462561</v>
          </cell>
          <cell r="F579" t="str">
            <v>Outdoor Management</v>
          </cell>
          <cell r="G579" t="str">
            <v>Senior Executive</v>
          </cell>
        </row>
        <row r="580">
          <cell r="B580">
            <v>463092</v>
          </cell>
          <cell r="C580" t="str">
            <v>FR3054</v>
          </cell>
          <cell r="D580" t="str">
            <v>Md. Rubel Ahammed</v>
          </cell>
          <cell r="E580">
            <v>463092</v>
          </cell>
          <cell r="F580" t="str">
            <v>Mechanical</v>
          </cell>
          <cell r="G580" t="str">
            <v>Assistant Engineer</v>
          </cell>
        </row>
        <row r="581">
          <cell r="B581">
            <v>463160</v>
          </cell>
          <cell r="C581" t="str">
            <v>AFBL(Marketing)-4880</v>
          </cell>
          <cell r="D581" t="str">
            <v>Md. Rafizul Islam Ripon</v>
          </cell>
          <cell r="E581">
            <v>463160</v>
          </cell>
          <cell r="F581" t="str">
            <v>Sales &amp; Marketing</v>
          </cell>
          <cell r="G581" t="str">
            <v>Territory Sales Manager</v>
          </cell>
        </row>
        <row r="582">
          <cell r="B582">
            <v>463686</v>
          </cell>
          <cell r="C582" t="str">
            <v>AFBL(Marketing)-4892</v>
          </cell>
          <cell r="D582" t="str">
            <v>Humaun Rashid Rasel</v>
          </cell>
          <cell r="E582">
            <v>463686</v>
          </cell>
          <cell r="F582" t="str">
            <v>Sales &amp; Marketing</v>
          </cell>
          <cell r="G582" t="str">
            <v>Area Sales Manager</v>
          </cell>
        </row>
        <row r="583">
          <cell r="B583">
            <v>464001</v>
          </cell>
          <cell r="C583" t="str">
            <v>FR3056</v>
          </cell>
          <cell r="D583" t="str">
            <v>Jahangir Alam</v>
          </cell>
          <cell r="E583">
            <v>464001</v>
          </cell>
          <cell r="F583" t="str">
            <v>Accounts And Finance</v>
          </cell>
          <cell r="G583" t="str">
            <v>Assistant Manager</v>
          </cell>
        </row>
        <row r="584">
          <cell r="B584">
            <v>465208</v>
          </cell>
          <cell r="C584" t="str">
            <v>R2321</v>
          </cell>
          <cell r="D584" t="str">
            <v>Md. Shohag Ali</v>
          </cell>
          <cell r="E584">
            <v>465208</v>
          </cell>
          <cell r="F584" t="str">
            <v>Civil</v>
          </cell>
          <cell r="G584" t="str">
            <v>Engineer</v>
          </cell>
        </row>
        <row r="585">
          <cell r="B585">
            <v>465523</v>
          </cell>
          <cell r="C585" t="str">
            <v>R2326</v>
          </cell>
          <cell r="D585" t="str">
            <v>Kawsar Hossain</v>
          </cell>
          <cell r="E585">
            <v>465523</v>
          </cell>
          <cell r="F585" t="str">
            <v xml:space="preserve">Cooler Management </v>
          </cell>
          <cell r="G585" t="str">
            <v>Junior Executive</v>
          </cell>
        </row>
        <row r="586">
          <cell r="B586">
            <v>465524</v>
          </cell>
          <cell r="C586" t="str">
            <v>R2327</v>
          </cell>
          <cell r="D586" t="str">
            <v>Akash Chowdhury</v>
          </cell>
          <cell r="E586">
            <v>465524</v>
          </cell>
          <cell r="F586" t="str">
            <v>Creative</v>
          </cell>
          <cell r="G586" t="str">
            <v>Executive</v>
          </cell>
        </row>
        <row r="587">
          <cell r="B587">
            <v>465768</v>
          </cell>
          <cell r="C587" t="str">
            <v>AFBL(Marketing)-4925</v>
          </cell>
          <cell r="D587" t="str">
            <v>Md. Mosharraf Hosen</v>
          </cell>
          <cell r="E587">
            <v>465768</v>
          </cell>
          <cell r="F587" t="str">
            <v>Sales &amp; Marketing</v>
          </cell>
          <cell r="G587" t="str">
            <v>Area Sales Manager</v>
          </cell>
        </row>
        <row r="588">
          <cell r="B588">
            <v>465797</v>
          </cell>
          <cell r="C588" t="str">
            <v>AFBL(Marketing)-4935</v>
          </cell>
          <cell r="D588" t="str">
            <v>Md. Mizanur Rahman</v>
          </cell>
          <cell r="E588">
            <v>465797</v>
          </cell>
          <cell r="F588" t="str">
            <v>Sales &amp; Marketing</v>
          </cell>
          <cell r="G588" t="str">
            <v>Territory Sales Manager</v>
          </cell>
        </row>
        <row r="589">
          <cell r="B589">
            <v>466465</v>
          </cell>
          <cell r="C589" t="str">
            <v>AFBL(Marketing)-4981</v>
          </cell>
          <cell r="D589" t="str">
            <v>Md. Moshiur Rahman</v>
          </cell>
          <cell r="E589">
            <v>466465</v>
          </cell>
          <cell r="F589" t="str">
            <v>Sales &amp; Marketing</v>
          </cell>
          <cell r="G589" t="str">
            <v>Territory Sales Manager</v>
          </cell>
        </row>
        <row r="590">
          <cell r="B590">
            <v>466506</v>
          </cell>
          <cell r="C590" t="str">
            <v>R2339</v>
          </cell>
          <cell r="D590" t="str">
            <v>Md. Jahidul Islam</v>
          </cell>
          <cell r="E590">
            <v>466506</v>
          </cell>
          <cell r="F590" t="str">
            <v>Commercial</v>
          </cell>
          <cell r="G590" t="str">
            <v>Assistant Manager</v>
          </cell>
        </row>
        <row r="591">
          <cell r="B591">
            <v>467045</v>
          </cell>
          <cell r="C591" t="str">
            <v>FR3089</v>
          </cell>
          <cell r="D591" t="str">
            <v>Md. Abdur Rahim</v>
          </cell>
          <cell r="E591">
            <v>467045</v>
          </cell>
          <cell r="F591" t="str">
            <v>Store</v>
          </cell>
          <cell r="G591" t="str">
            <v>Executive</v>
          </cell>
        </row>
        <row r="592">
          <cell r="B592">
            <v>467275</v>
          </cell>
          <cell r="C592" t="str">
            <v>FR3093</v>
          </cell>
          <cell r="D592" t="str">
            <v>Abdul Latif</v>
          </cell>
          <cell r="E592">
            <v>467275</v>
          </cell>
          <cell r="F592" t="str">
            <v>Civil</v>
          </cell>
          <cell r="G592" t="str">
            <v>Assistant Engineer</v>
          </cell>
        </row>
        <row r="593">
          <cell r="B593">
            <v>469464</v>
          </cell>
          <cell r="C593" t="str">
            <v>AFBL(Marketing)-5016</v>
          </cell>
          <cell r="D593" t="str">
            <v>Md. Babor Ali</v>
          </cell>
          <cell r="E593">
            <v>469464</v>
          </cell>
          <cell r="F593" t="str">
            <v>Sales &amp; Marketing</v>
          </cell>
          <cell r="G593" t="str">
            <v>Territory Sales Manager</v>
          </cell>
        </row>
        <row r="594">
          <cell r="B594">
            <v>470181</v>
          </cell>
          <cell r="C594" t="str">
            <v>R2371</v>
          </cell>
          <cell r="D594" t="str">
            <v>Al Emran</v>
          </cell>
          <cell r="E594">
            <v>470181</v>
          </cell>
          <cell r="F594" t="str">
            <v>Market Audit &amp; Business Intelligence</v>
          </cell>
          <cell r="G594" t="str">
            <v>Executive</v>
          </cell>
        </row>
        <row r="595">
          <cell r="B595">
            <v>470183</v>
          </cell>
          <cell r="C595" t="str">
            <v>R2372</v>
          </cell>
          <cell r="D595" t="str">
            <v>Md. Mahedy Hassan</v>
          </cell>
          <cell r="E595">
            <v>470183</v>
          </cell>
          <cell r="F595" t="str">
            <v>Market Audit &amp; Business Intelligence</v>
          </cell>
          <cell r="G595" t="str">
            <v>Senior Executive</v>
          </cell>
        </row>
        <row r="596">
          <cell r="B596">
            <v>470185</v>
          </cell>
          <cell r="C596" t="str">
            <v>R2374</v>
          </cell>
          <cell r="D596" t="str">
            <v>Md. Azgar Ali</v>
          </cell>
          <cell r="E596">
            <v>470185</v>
          </cell>
          <cell r="F596" t="str">
            <v>Market Audit &amp; Business Intelligence</v>
          </cell>
          <cell r="G596" t="str">
            <v>Senior Executive</v>
          </cell>
        </row>
        <row r="597">
          <cell r="B597">
            <v>470219</v>
          </cell>
          <cell r="C597" t="str">
            <v>FR3109</v>
          </cell>
          <cell r="D597" t="str">
            <v>Akash Pramanik</v>
          </cell>
          <cell r="E597">
            <v>470219</v>
          </cell>
          <cell r="F597" t="str">
            <v>CSD</v>
          </cell>
          <cell r="G597" t="str">
            <v>Senior Executive</v>
          </cell>
        </row>
        <row r="598">
          <cell r="B598">
            <v>470258</v>
          </cell>
          <cell r="C598" t="str">
            <v>AFBL(Marketing)-5029</v>
          </cell>
          <cell r="D598" t="str">
            <v>Muinul Islam</v>
          </cell>
          <cell r="E598">
            <v>470258</v>
          </cell>
          <cell r="F598" t="str">
            <v>Sales &amp; Marketing</v>
          </cell>
          <cell r="G598" t="str">
            <v>Territory Sales Manager</v>
          </cell>
        </row>
        <row r="599">
          <cell r="B599">
            <v>470259</v>
          </cell>
          <cell r="C599" t="str">
            <v>AFBL(Marketing)-5030</v>
          </cell>
          <cell r="D599" t="str">
            <v>Md. Masudur Rahman</v>
          </cell>
          <cell r="E599">
            <v>470259</v>
          </cell>
          <cell r="F599" t="str">
            <v>Sales &amp; Marketing</v>
          </cell>
          <cell r="G599" t="str">
            <v>Territory Sales Manager</v>
          </cell>
        </row>
        <row r="600">
          <cell r="B600">
            <v>470265</v>
          </cell>
          <cell r="C600" t="str">
            <v>AFBL(Marketing)-5036</v>
          </cell>
          <cell r="D600" t="str">
            <v>Sumon Mia</v>
          </cell>
          <cell r="E600">
            <v>470265</v>
          </cell>
          <cell r="F600" t="str">
            <v>Sales &amp; Marketing</v>
          </cell>
          <cell r="G600" t="str">
            <v>Area Sales Manager</v>
          </cell>
        </row>
        <row r="601">
          <cell r="B601">
            <v>470270</v>
          </cell>
          <cell r="C601" t="str">
            <v>AFBL(Marketing)-5039</v>
          </cell>
          <cell r="D601" t="str">
            <v>Md. Jubaer Rahman</v>
          </cell>
          <cell r="E601">
            <v>470270</v>
          </cell>
          <cell r="F601" t="str">
            <v>Sales &amp; Marketing</v>
          </cell>
          <cell r="G601" t="str">
            <v>Territory Sales Manager</v>
          </cell>
        </row>
        <row r="602">
          <cell r="B602">
            <v>470271</v>
          </cell>
          <cell r="C602" t="str">
            <v>AFBL(Marketing)-5040</v>
          </cell>
          <cell r="D602" t="str">
            <v>Md. Emdadul Hoque</v>
          </cell>
          <cell r="E602">
            <v>470271</v>
          </cell>
          <cell r="F602" t="str">
            <v>Sales &amp; Marketing</v>
          </cell>
          <cell r="G602" t="str">
            <v>Territory Sales Manager</v>
          </cell>
        </row>
        <row r="603">
          <cell r="B603">
            <v>470272</v>
          </cell>
          <cell r="C603" t="str">
            <v>AFBL(Marketing)-5041</v>
          </cell>
          <cell r="D603" t="str">
            <v>Md. Ajijul Islam</v>
          </cell>
          <cell r="E603">
            <v>470272</v>
          </cell>
          <cell r="F603" t="str">
            <v>Sales &amp; Marketing</v>
          </cell>
          <cell r="G603" t="str">
            <v>Territory Sales Manager</v>
          </cell>
        </row>
        <row r="604">
          <cell r="B604">
            <v>470468</v>
          </cell>
          <cell r="C604" t="str">
            <v>FR3110</v>
          </cell>
          <cell r="D604" t="str">
            <v xml:space="preserve">Md. Al -Amin </v>
          </cell>
          <cell r="E604">
            <v>470468</v>
          </cell>
          <cell r="F604" t="str">
            <v>CSD</v>
          </cell>
          <cell r="G604" t="str">
            <v>Senior Executive</v>
          </cell>
        </row>
        <row r="605">
          <cell r="B605">
            <v>470663</v>
          </cell>
          <cell r="C605" t="str">
            <v>R2382</v>
          </cell>
          <cell r="D605" t="str">
            <v>Mahmudul Hasan</v>
          </cell>
          <cell r="E605">
            <v>470663</v>
          </cell>
          <cell r="F605" t="str">
            <v>Internal Audit &amp; Compliance</v>
          </cell>
          <cell r="G605" t="str">
            <v>Senior Executive</v>
          </cell>
        </row>
        <row r="606">
          <cell r="B606">
            <v>470768</v>
          </cell>
          <cell r="C606" t="str">
            <v>FR3111</v>
          </cell>
          <cell r="D606" t="str">
            <v>Rashidul Islam</v>
          </cell>
          <cell r="E606">
            <v>470768</v>
          </cell>
          <cell r="F606" t="str">
            <v>Electrical</v>
          </cell>
          <cell r="G606" t="str">
            <v>Senior Engineer</v>
          </cell>
        </row>
        <row r="607">
          <cell r="B607">
            <v>471163</v>
          </cell>
          <cell r="C607" t="str">
            <v>FR3115</v>
          </cell>
          <cell r="D607" t="str">
            <v xml:space="preserve">Md.Sakhaoat Hossain </v>
          </cell>
          <cell r="E607">
            <v>471163</v>
          </cell>
          <cell r="F607" t="str">
            <v>Quality Control</v>
          </cell>
          <cell r="G607" t="str">
            <v>Executive</v>
          </cell>
        </row>
        <row r="608">
          <cell r="B608">
            <v>471210</v>
          </cell>
          <cell r="C608" t="str">
            <v>AFBL(Marketing)-5070</v>
          </cell>
          <cell r="D608" t="str">
            <v>Proshanto Kumar</v>
          </cell>
          <cell r="E608">
            <v>471210</v>
          </cell>
          <cell r="F608" t="str">
            <v>Sales &amp; Marketing</v>
          </cell>
          <cell r="G608" t="str">
            <v>Territory Sales Manager</v>
          </cell>
        </row>
        <row r="609">
          <cell r="B609">
            <v>472439</v>
          </cell>
          <cell r="C609" t="str">
            <v>AFBL(Marketing)-5091</v>
          </cell>
          <cell r="D609" t="str">
            <v>Ali Hasan</v>
          </cell>
          <cell r="E609">
            <v>472439</v>
          </cell>
          <cell r="F609" t="str">
            <v>Sales &amp; Marketing</v>
          </cell>
          <cell r="G609" t="str">
            <v>Territory Sales Manager</v>
          </cell>
        </row>
        <row r="610">
          <cell r="B610">
            <v>472514</v>
          </cell>
          <cell r="C610" t="str">
            <v>AFBL(Marketing)-5094</v>
          </cell>
          <cell r="D610" t="str">
            <v>Mehedi Masud</v>
          </cell>
          <cell r="E610">
            <v>472514</v>
          </cell>
          <cell r="F610" t="str">
            <v>Sales &amp; Marketing</v>
          </cell>
          <cell r="G610" t="str">
            <v>Area Sales Manager</v>
          </cell>
        </row>
        <row r="611">
          <cell r="B611">
            <v>472731</v>
          </cell>
          <cell r="C611" t="str">
            <v>FR3128</v>
          </cell>
          <cell r="D611" t="str">
            <v xml:space="preserve">Md.Monir Hossain </v>
          </cell>
          <cell r="E611">
            <v>472731</v>
          </cell>
          <cell r="F611" t="str">
            <v>Transport</v>
          </cell>
          <cell r="G611" t="str">
            <v>Assistant Manager</v>
          </cell>
        </row>
        <row r="612">
          <cell r="B612">
            <v>472732</v>
          </cell>
          <cell r="C612" t="str">
            <v>FR3129</v>
          </cell>
          <cell r="D612" t="str">
            <v>Md.Mizanur Rahman Uzzal</v>
          </cell>
          <cell r="E612">
            <v>472732</v>
          </cell>
          <cell r="F612" t="str">
            <v>Transport</v>
          </cell>
          <cell r="G612" t="str">
            <v>Senior Executive</v>
          </cell>
        </row>
        <row r="613">
          <cell r="B613">
            <v>472991</v>
          </cell>
          <cell r="C613" t="str">
            <v>R2414</v>
          </cell>
          <cell r="D613" t="str">
            <v>Muntashir Shimul</v>
          </cell>
          <cell r="E613">
            <v>472991</v>
          </cell>
          <cell r="F613" t="str">
            <v>Outdoor Management</v>
          </cell>
          <cell r="G613" t="str">
            <v>Executive</v>
          </cell>
        </row>
        <row r="614">
          <cell r="B614">
            <v>473563</v>
          </cell>
          <cell r="C614" t="str">
            <v>FR3138</v>
          </cell>
          <cell r="D614" t="str">
            <v>Shekh Naziur Rahman</v>
          </cell>
          <cell r="E614">
            <v>473563</v>
          </cell>
          <cell r="F614" t="str">
            <v>Electrical</v>
          </cell>
          <cell r="G614" t="str">
            <v>Senior Engineer</v>
          </cell>
        </row>
        <row r="615">
          <cell r="B615">
            <v>473569</v>
          </cell>
          <cell r="C615" t="str">
            <v>FR3141</v>
          </cell>
          <cell r="D615" t="str">
            <v>Md.Shamimul Islam</v>
          </cell>
          <cell r="E615">
            <v>473569</v>
          </cell>
          <cell r="F615" t="str">
            <v>Quality Control</v>
          </cell>
          <cell r="G615" t="str">
            <v>Executive</v>
          </cell>
        </row>
        <row r="616">
          <cell r="B616">
            <v>474216</v>
          </cell>
          <cell r="C616" t="str">
            <v>FR3151</v>
          </cell>
          <cell r="D616" t="str">
            <v>Md. Saiful Islam</v>
          </cell>
          <cell r="E616">
            <v>474216</v>
          </cell>
          <cell r="F616" t="str">
            <v>Export</v>
          </cell>
          <cell r="G616" t="str">
            <v>Executive</v>
          </cell>
        </row>
        <row r="617">
          <cell r="B617">
            <v>475691</v>
          </cell>
          <cell r="C617" t="str">
            <v>C210</v>
          </cell>
          <cell r="D617" t="str">
            <v>Kazi Mofazzel Hoq</v>
          </cell>
          <cell r="E617">
            <v>475691</v>
          </cell>
          <cell r="F617" t="str">
            <v>Fountain Management</v>
          </cell>
          <cell r="G617" t="str">
            <v>Deputy General Manager</v>
          </cell>
        </row>
        <row r="618">
          <cell r="B618">
            <v>475953</v>
          </cell>
          <cell r="C618" t="str">
            <v>R2438</v>
          </cell>
          <cell r="D618" t="str">
            <v>Md. Samsul Alam Shopon</v>
          </cell>
          <cell r="E618">
            <v>475953</v>
          </cell>
          <cell r="F618" t="str">
            <v>Outdoor Management</v>
          </cell>
          <cell r="G618" t="str">
            <v>Senior Executive</v>
          </cell>
        </row>
        <row r="619">
          <cell r="B619">
            <v>476149</v>
          </cell>
          <cell r="C619" t="str">
            <v>AFBL(Marketing)-5200</v>
          </cell>
          <cell r="D619" t="str">
            <v>Shahidullah Molla</v>
          </cell>
          <cell r="E619">
            <v>476149</v>
          </cell>
          <cell r="F619" t="str">
            <v>Sales &amp; Marketing</v>
          </cell>
          <cell r="G619" t="str">
            <v>Area Sales Manager</v>
          </cell>
        </row>
        <row r="620">
          <cell r="B620">
            <v>476167</v>
          </cell>
          <cell r="C620" t="str">
            <v>AFBL(Marketing)-5208</v>
          </cell>
          <cell r="D620" t="str">
            <v>Md. Nasir Uddin</v>
          </cell>
          <cell r="E620">
            <v>476167</v>
          </cell>
          <cell r="F620" t="str">
            <v>Sales &amp; Marketing</v>
          </cell>
          <cell r="G620" t="str">
            <v>Territory Sales Manager</v>
          </cell>
        </row>
        <row r="621">
          <cell r="B621">
            <v>476744</v>
          </cell>
          <cell r="C621" t="str">
            <v>FR3172</v>
          </cell>
          <cell r="D621" t="str">
            <v>Sujoy Das</v>
          </cell>
          <cell r="E621">
            <v>476744</v>
          </cell>
          <cell r="F621" t="str">
            <v>MIS</v>
          </cell>
          <cell r="G621" t="str">
            <v>Senior Executive</v>
          </cell>
        </row>
        <row r="622">
          <cell r="B622">
            <v>476748</v>
          </cell>
          <cell r="C622" t="str">
            <v>FR3173</v>
          </cell>
          <cell r="D622" t="str">
            <v>Md. Zahedul Islam</v>
          </cell>
          <cell r="E622">
            <v>476748</v>
          </cell>
          <cell r="F622" t="str">
            <v>MIS</v>
          </cell>
          <cell r="G622" t="str">
            <v>Senior Executive</v>
          </cell>
        </row>
        <row r="623">
          <cell r="B623">
            <v>477775</v>
          </cell>
          <cell r="C623" t="str">
            <v>FR3181</v>
          </cell>
          <cell r="D623" t="str">
            <v>Abu Zorgifari</v>
          </cell>
          <cell r="E623">
            <v>477775</v>
          </cell>
          <cell r="F623" t="str">
            <v>Quality Control</v>
          </cell>
          <cell r="G623" t="str">
            <v>Executive</v>
          </cell>
        </row>
        <row r="624">
          <cell r="B624">
            <v>477817</v>
          </cell>
          <cell r="C624" t="str">
            <v>R2450</v>
          </cell>
          <cell r="D624" t="str">
            <v>Kazi Ferdaus</v>
          </cell>
          <cell r="E624">
            <v>477817</v>
          </cell>
          <cell r="F624" t="str">
            <v>Market Audit &amp; Business Intelligence</v>
          </cell>
          <cell r="G624" t="str">
            <v>Executive</v>
          </cell>
        </row>
        <row r="625">
          <cell r="B625">
            <v>478254</v>
          </cell>
          <cell r="C625" t="str">
            <v>R2454</v>
          </cell>
          <cell r="D625" t="str">
            <v>Md. Sajidul Islam</v>
          </cell>
          <cell r="E625">
            <v>478254</v>
          </cell>
          <cell r="F625" t="str">
            <v>Market Audit &amp; Business Intelligence</v>
          </cell>
          <cell r="G625" t="str">
            <v>Senior Executive</v>
          </cell>
        </row>
        <row r="626">
          <cell r="B626">
            <v>479057</v>
          </cell>
          <cell r="C626" t="str">
            <v>R2465</v>
          </cell>
          <cell r="D626" t="str">
            <v>Razib Mazumder</v>
          </cell>
          <cell r="E626">
            <v>479057</v>
          </cell>
          <cell r="F626" t="str">
            <v>Event</v>
          </cell>
          <cell r="G626" t="str">
            <v>Senior Executive</v>
          </cell>
        </row>
        <row r="627">
          <cell r="B627">
            <v>479219</v>
          </cell>
          <cell r="C627" t="str">
            <v>R2466</v>
          </cell>
          <cell r="D627" t="str">
            <v>Estiak Ahmed</v>
          </cell>
          <cell r="E627">
            <v>479219</v>
          </cell>
          <cell r="F627" t="str">
            <v>Business Development &amp; Research</v>
          </cell>
          <cell r="G627" t="str">
            <v>Executive</v>
          </cell>
        </row>
        <row r="628">
          <cell r="B628">
            <v>479543</v>
          </cell>
          <cell r="C628" t="str">
            <v>Agro-399</v>
          </cell>
          <cell r="D628" t="str">
            <v>Md.Wasiul Haque</v>
          </cell>
          <cell r="E628">
            <v>479543</v>
          </cell>
          <cell r="F628" t="str">
            <v>Production</v>
          </cell>
          <cell r="G628" t="str">
            <v>Assistant Engineer</v>
          </cell>
        </row>
        <row r="629">
          <cell r="B629">
            <v>479555</v>
          </cell>
          <cell r="C629" t="str">
            <v>FR3223</v>
          </cell>
          <cell r="D629" t="str">
            <v>Hiren Chandra</v>
          </cell>
          <cell r="E629">
            <v>479555</v>
          </cell>
          <cell r="F629" t="str">
            <v>MIS</v>
          </cell>
          <cell r="G629" t="str">
            <v>Senior Executive</v>
          </cell>
        </row>
        <row r="630">
          <cell r="B630">
            <v>480036</v>
          </cell>
          <cell r="C630" t="str">
            <v>R2478</v>
          </cell>
          <cell r="D630" t="str">
            <v>S.M Mohiuddin Azad</v>
          </cell>
          <cell r="E630">
            <v>480036</v>
          </cell>
          <cell r="F630" t="str">
            <v>Modern Trade</v>
          </cell>
          <cell r="G630" t="str">
            <v>Senior Manager</v>
          </cell>
        </row>
        <row r="631">
          <cell r="B631">
            <v>481293</v>
          </cell>
          <cell r="C631" t="str">
            <v>AGRO-403</v>
          </cell>
          <cell r="D631" t="str">
            <v>Md. Radwanuzzaman Rumman</v>
          </cell>
          <cell r="E631">
            <v>481293</v>
          </cell>
          <cell r="F631" t="str">
            <v>Production</v>
          </cell>
          <cell r="G631" t="str">
            <v>Senior Executive</v>
          </cell>
        </row>
        <row r="632">
          <cell r="B632">
            <v>481863</v>
          </cell>
          <cell r="C632" t="str">
            <v>AFBL(Marketing)-5289</v>
          </cell>
          <cell r="D632" t="str">
            <v>Md. Shamsujjoha Roni</v>
          </cell>
          <cell r="E632">
            <v>481863</v>
          </cell>
          <cell r="F632" t="str">
            <v>Distribution</v>
          </cell>
          <cell r="G632" t="str">
            <v>Junior Executive</v>
          </cell>
        </row>
        <row r="633">
          <cell r="B633">
            <v>490251</v>
          </cell>
          <cell r="C633" t="str">
            <v>AFBL(Marketing)-5333</v>
          </cell>
          <cell r="D633" t="str">
            <v>Md. Delnur Hossain</v>
          </cell>
          <cell r="E633">
            <v>490251</v>
          </cell>
          <cell r="F633" t="str">
            <v>Sales &amp; Marketing</v>
          </cell>
          <cell r="G633" t="str">
            <v>Territory Sales Manager</v>
          </cell>
        </row>
        <row r="634">
          <cell r="B634">
            <v>492133</v>
          </cell>
          <cell r="C634" t="str">
            <v>R2508</v>
          </cell>
          <cell r="D634" t="str">
            <v>Md. Arman Ahamad</v>
          </cell>
          <cell r="E634">
            <v>492133</v>
          </cell>
          <cell r="F634" t="str">
            <v>Market Audit &amp; Business Intelligence</v>
          </cell>
          <cell r="G634" t="str">
            <v>Executive</v>
          </cell>
        </row>
        <row r="635">
          <cell r="B635">
            <v>493261</v>
          </cell>
          <cell r="C635" t="str">
            <v>R2510</v>
          </cell>
          <cell r="D635" t="str">
            <v>Md. Nazmul Huda</v>
          </cell>
          <cell r="E635">
            <v>493261</v>
          </cell>
          <cell r="F635" t="str">
            <v>Outdoor Management</v>
          </cell>
          <cell r="G635" t="str">
            <v>Executive</v>
          </cell>
        </row>
        <row r="636">
          <cell r="B636">
            <v>494827</v>
          </cell>
          <cell r="C636" t="str">
            <v>AFBL(Marketing)-5419</v>
          </cell>
          <cell r="D636" t="str">
            <v>Abdul Momin</v>
          </cell>
          <cell r="E636">
            <v>494827</v>
          </cell>
          <cell r="F636" t="str">
            <v>Sales &amp; Marketing</v>
          </cell>
          <cell r="G636" t="str">
            <v>Senior Territory Sales Manager</v>
          </cell>
        </row>
        <row r="637">
          <cell r="B637">
            <v>494828</v>
          </cell>
          <cell r="C637" t="str">
            <v>AFBL(Marketing)-5420</v>
          </cell>
          <cell r="D637" t="str">
            <v>Md. Murshalin</v>
          </cell>
          <cell r="E637">
            <v>494828</v>
          </cell>
          <cell r="F637" t="str">
            <v>Sales &amp; Marketing</v>
          </cell>
          <cell r="G637" t="str">
            <v>Territory Sales Manager</v>
          </cell>
        </row>
        <row r="638">
          <cell r="B638">
            <v>495108</v>
          </cell>
          <cell r="C638" t="str">
            <v>FR3246</v>
          </cell>
          <cell r="D638" t="str">
            <v>Bidhan kumar ghosh</v>
          </cell>
          <cell r="E638">
            <v>495108</v>
          </cell>
          <cell r="F638" t="str">
            <v>Quality Control</v>
          </cell>
          <cell r="G638" t="str">
            <v>Microbiologist</v>
          </cell>
        </row>
        <row r="639">
          <cell r="B639">
            <v>496229</v>
          </cell>
          <cell r="C639" t="str">
            <v>R2531</v>
          </cell>
          <cell r="D639" t="str">
            <v>Md. Abdul Hai Bhuyan</v>
          </cell>
          <cell r="E639">
            <v>496229</v>
          </cell>
          <cell r="F639" t="str">
            <v>Business Development &amp; Research</v>
          </cell>
          <cell r="G639" t="str">
            <v>Assistant General Manager</v>
          </cell>
        </row>
        <row r="640">
          <cell r="B640">
            <v>501122</v>
          </cell>
          <cell r="C640" t="str">
            <v>AFBL(Marketing)-5515</v>
          </cell>
          <cell r="D640" t="str">
            <v>Md. Jasim Uddin</v>
          </cell>
          <cell r="E640">
            <v>501122</v>
          </cell>
          <cell r="F640" t="str">
            <v>Sales &amp; Marketing</v>
          </cell>
          <cell r="G640" t="str">
            <v>Territory Sales Manager</v>
          </cell>
        </row>
        <row r="641">
          <cell r="B641">
            <v>502210</v>
          </cell>
          <cell r="C641" t="str">
            <v>R2570</v>
          </cell>
          <cell r="D641" t="str">
            <v>Sazeeb Saha</v>
          </cell>
          <cell r="E641">
            <v>502210</v>
          </cell>
          <cell r="F641" t="str">
            <v xml:space="preserve">Cooler Management </v>
          </cell>
          <cell r="G641" t="str">
            <v>Junior Executive</v>
          </cell>
        </row>
        <row r="642">
          <cell r="B642">
            <v>502601</v>
          </cell>
          <cell r="C642" t="str">
            <v>R2581</v>
          </cell>
          <cell r="D642" t="str">
            <v>Md. Mehedy Hassan</v>
          </cell>
          <cell r="E642">
            <v>502601</v>
          </cell>
          <cell r="F642" t="str">
            <v>Institutional Sales</v>
          </cell>
          <cell r="G642" t="str">
            <v>Executive</v>
          </cell>
        </row>
        <row r="643">
          <cell r="B643">
            <v>503346</v>
          </cell>
          <cell r="C643" t="str">
            <v>FR3345</v>
          </cell>
          <cell r="D643" t="str">
            <v>Md. Sakib Uddin</v>
          </cell>
          <cell r="E643">
            <v>503346</v>
          </cell>
          <cell r="F643" t="str">
            <v>Mechanical</v>
          </cell>
          <cell r="G643" t="str">
            <v>Assistant Engineer</v>
          </cell>
        </row>
        <row r="644">
          <cell r="B644">
            <v>503641</v>
          </cell>
          <cell r="C644" t="str">
            <v>FR3357</v>
          </cell>
          <cell r="D644" t="str">
            <v>Tapas Chandra Bhowmik</v>
          </cell>
          <cell r="E644">
            <v>503641</v>
          </cell>
          <cell r="F644" t="str">
            <v>Drinking Water Plant</v>
          </cell>
          <cell r="G644" t="str">
            <v>Assistant Engineer</v>
          </cell>
        </row>
        <row r="645">
          <cell r="B645">
            <v>504150</v>
          </cell>
          <cell r="C645" t="str">
            <v>AFBL(Marketing)-5613</v>
          </cell>
          <cell r="D645" t="str">
            <v>Md. Khairul Islam</v>
          </cell>
          <cell r="E645">
            <v>504150</v>
          </cell>
          <cell r="F645" t="str">
            <v>Sales &amp; Marketing</v>
          </cell>
          <cell r="G645" t="str">
            <v>Area Sales Manager</v>
          </cell>
        </row>
        <row r="646">
          <cell r="B646">
            <v>505208</v>
          </cell>
          <cell r="C646" t="str">
            <v>FR3394</v>
          </cell>
          <cell r="D646" t="str">
            <v>Mahabub Alam</v>
          </cell>
          <cell r="E646">
            <v>505208</v>
          </cell>
          <cell r="F646" t="str">
            <v>Quality Control</v>
          </cell>
          <cell r="G646" t="str">
            <v>Senior Executive</v>
          </cell>
        </row>
        <row r="647">
          <cell r="B647">
            <v>508674</v>
          </cell>
          <cell r="C647" t="str">
            <v>R2638</v>
          </cell>
          <cell r="D647" t="str">
            <v>Md. Nashid Parvez</v>
          </cell>
          <cell r="E647">
            <v>508674</v>
          </cell>
          <cell r="F647" t="str">
            <v>Market Audit &amp; Business Intelligence</v>
          </cell>
          <cell r="G647" t="str">
            <v>Executive</v>
          </cell>
        </row>
        <row r="648">
          <cell r="B648">
            <v>508676</v>
          </cell>
          <cell r="C648" t="str">
            <v>R2639</v>
          </cell>
          <cell r="D648" t="str">
            <v>Md. Shahadat Hossain</v>
          </cell>
          <cell r="E648">
            <v>508676</v>
          </cell>
          <cell r="F648" t="str">
            <v>Market Audit &amp; Business Intelligence</v>
          </cell>
          <cell r="G648" t="str">
            <v>Executive</v>
          </cell>
        </row>
        <row r="649">
          <cell r="B649">
            <v>509641</v>
          </cell>
          <cell r="C649" t="str">
            <v>FR3412</v>
          </cell>
          <cell r="D649" t="str">
            <v>Mahmudul Hasan</v>
          </cell>
          <cell r="E649">
            <v>509641</v>
          </cell>
          <cell r="F649" t="str">
            <v>Mechanical</v>
          </cell>
          <cell r="G649" t="str">
            <v>Assistant Engineer</v>
          </cell>
        </row>
        <row r="650">
          <cell r="B650">
            <v>510110</v>
          </cell>
          <cell r="C650" t="str">
            <v>AFBL(Marketing)-5707</v>
          </cell>
          <cell r="D650" t="str">
            <v>Shariful Islam</v>
          </cell>
          <cell r="E650">
            <v>510110</v>
          </cell>
          <cell r="F650" t="str">
            <v>Sales &amp; Marketing</v>
          </cell>
          <cell r="G650" t="str">
            <v>Territory Sales Manager</v>
          </cell>
        </row>
        <row r="651">
          <cell r="B651">
            <v>510215</v>
          </cell>
          <cell r="C651" t="str">
            <v>AFBL(Marketing)-5712</v>
          </cell>
          <cell r="D651" t="str">
            <v>Md. Abdullah Al Miraj</v>
          </cell>
          <cell r="E651">
            <v>510215</v>
          </cell>
          <cell r="F651" t="str">
            <v>Sales &amp; Marketing</v>
          </cell>
          <cell r="G651" t="str">
            <v>Area Sales Manager</v>
          </cell>
        </row>
        <row r="652">
          <cell r="B652">
            <v>510217</v>
          </cell>
          <cell r="C652" t="str">
            <v>AFBL(Marketing)-5713</v>
          </cell>
          <cell r="D652" t="str">
            <v>Md. Mizanur Rahman</v>
          </cell>
          <cell r="E652">
            <v>510217</v>
          </cell>
          <cell r="F652" t="str">
            <v>Sales &amp; Marketing</v>
          </cell>
          <cell r="G652" t="str">
            <v>Territory Sales Manager</v>
          </cell>
        </row>
        <row r="653">
          <cell r="B653">
            <v>510416</v>
          </cell>
          <cell r="C653" t="str">
            <v>AFBL(Marketing)-5718</v>
          </cell>
          <cell r="D653" t="str">
            <v>Md. Imran Hossain</v>
          </cell>
          <cell r="E653">
            <v>510416</v>
          </cell>
          <cell r="F653" t="str">
            <v>Sales &amp; Marketing</v>
          </cell>
          <cell r="G653" t="str">
            <v>Territory Sales Manager</v>
          </cell>
        </row>
        <row r="654">
          <cell r="B654">
            <v>510522</v>
          </cell>
          <cell r="C654" t="str">
            <v>FR3441</v>
          </cell>
          <cell r="D654" t="str">
            <v>Md.Nahid Hasan Hemel</v>
          </cell>
          <cell r="E654">
            <v>510522</v>
          </cell>
          <cell r="F654" t="str">
            <v>Aseptic Juice</v>
          </cell>
          <cell r="G654" t="str">
            <v>Assistant Engineer</v>
          </cell>
        </row>
        <row r="655">
          <cell r="B655">
            <v>510541</v>
          </cell>
          <cell r="C655" t="str">
            <v>FR3449</v>
          </cell>
          <cell r="D655" t="str">
            <v>Ram Proshad Das</v>
          </cell>
          <cell r="E655">
            <v>510541</v>
          </cell>
          <cell r="F655" t="str">
            <v>CSD</v>
          </cell>
          <cell r="G655" t="str">
            <v>Executive</v>
          </cell>
        </row>
        <row r="656">
          <cell r="B656">
            <v>510641</v>
          </cell>
          <cell r="C656" t="str">
            <v>FR3453</v>
          </cell>
          <cell r="D656" t="str">
            <v>Imran Khan</v>
          </cell>
          <cell r="E656">
            <v>510641</v>
          </cell>
          <cell r="F656" t="str">
            <v>CSD</v>
          </cell>
          <cell r="G656" t="str">
            <v>Assistant Engineer</v>
          </cell>
        </row>
        <row r="657">
          <cell r="B657">
            <v>510801</v>
          </cell>
          <cell r="C657" t="str">
            <v>FR3459</v>
          </cell>
          <cell r="D657" t="str">
            <v>Md.Bipul Mia</v>
          </cell>
          <cell r="E657">
            <v>510801</v>
          </cell>
          <cell r="F657" t="str">
            <v>Mechanical</v>
          </cell>
          <cell r="G657" t="str">
            <v>Assistant Engineer</v>
          </cell>
        </row>
        <row r="658">
          <cell r="B658">
            <v>510834</v>
          </cell>
          <cell r="C658" t="str">
            <v>R2660</v>
          </cell>
          <cell r="D658" t="str">
            <v>Mamunur Rashid</v>
          </cell>
          <cell r="E658">
            <v>510834</v>
          </cell>
          <cell r="F658" t="str">
            <v>Creative</v>
          </cell>
          <cell r="G658" t="str">
            <v>Executive</v>
          </cell>
        </row>
        <row r="659">
          <cell r="B659">
            <v>511179</v>
          </cell>
          <cell r="C659" t="str">
            <v>AFBL(Marketing)-5754</v>
          </cell>
          <cell r="D659" t="str">
            <v>Md. Mizanur Rahman</v>
          </cell>
          <cell r="E659">
            <v>511179</v>
          </cell>
          <cell r="F659" t="str">
            <v>Sales &amp; Marketing</v>
          </cell>
          <cell r="G659" t="str">
            <v>Territory Sales Manager</v>
          </cell>
        </row>
        <row r="660">
          <cell r="B660">
            <v>511273</v>
          </cell>
          <cell r="C660" t="str">
            <v>FR3479</v>
          </cell>
          <cell r="D660" t="str">
            <v>Md. Abu Mohsin</v>
          </cell>
          <cell r="E660">
            <v>511273</v>
          </cell>
          <cell r="F660" t="str">
            <v>PPS</v>
          </cell>
          <cell r="G660" t="str">
            <v>Assistant Engineer</v>
          </cell>
        </row>
        <row r="661">
          <cell r="B661">
            <v>511557</v>
          </cell>
          <cell r="C661" t="str">
            <v>FR3489</v>
          </cell>
          <cell r="D661" t="str">
            <v>Md. Asif Mahmud</v>
          </cell>
          <cell r="E661">
            <v>511557</v>
          </cell>
          <cell r="F661" t="str">
            <v>Quality Control</v>
          </cell>
          <cell r="G661" t="str">
            <v>Executive</v>
          </cell>
        </row>
        <row r="662">
          <cell r="B662">
            <v>511559</v>
          </cell>
          <cell r="C662" t="str">
            <v>FR3490</v>
          </cell>
          <cell r="D662" t="str">
            <v>Md. Emdadul Haque</v>
          </cell>
          <cell r="E662">
            <v>511559</v>
          </cell>
          <cell r="F662" t="str">
            <v>CSD</v>
          </cell>
          <cell r="G662" t="str">
            <v>Executive</v>
          </cell>
        </row>
        <row r="663">
          <cell r="B663">
            <v>511582</v>
          </cell>
          <cell r="C663" t="str">
            <v>FR3491</v>
          </cell>
          <cell r="D663" t="str">
            <v>Md. Hasibul Hossain</v>
          </cell>
          <cell r="E663">
            <v>511582</v>
          </cell>
          <cell r="F663" t="str">
            <v>Quality Control</v>
          </cell>
          <cell r="G663" t="str">
            <v>Executive</v>
          </cell>
        </row>
        <row r="664">
          <cell r="B664">
            <v>511822</v>
          </cell>
          <cell r="C664" t="str">
            <v>R2676</v>
          </cell>
          <cell r="D664" t="str">
            <v>S M Ruhul Amin</v>
          </cell>
          <cell r="E664">
            <v>511822</v>
          </cell>
          <cell r="F664" t="str">
            <v>Sales Admin</v>
          </cell>
          <cell r="G664" t="str">
            <v>Senior Executive</v>
          </cell>
        </row>
        <row r="665">
          <cell r="B665">
            <v>511927</v>
          </cell>
          <cell r="C665" t="str">
            <v>AFBL(Marketing)-5836</v>
          </cell>
          <cell r="D665" t="str">
            <v>Md. Mujahidul Islam</v>
          </cell>
          <cell r="E665">
            <v>511927</v>
          </cell>
          <cell r="F665" t="str">
            <v>Sales &amp; Marketing</v>
          </cell>
          <cell r="G665" t="str">
            <v>Territory Sales Manager</v>
          </cell>
        </row>
        <row r="666">
          <cell r="B666">
            <v>512309</v>
          </cell>
          <cell r="C666" t="str">
            <v>AGRO-512</v>
          </cell>
          <cell r="D666" t="str">
            <v>Md.Shariful Islam</v>
          </cell>
          <cell r="E666">
            <v>512309</v>
          </cell>
          <cell r="F666" t="str">
            <v>Quality Control</v>
          </cell>
          <cell r="G666" t="str">
            <v>Senior Executive</v>
          </cell>
        </row>
        <row r="667">
          <cell r="B667">
            <v>513215</v>
          </cell>
          <cell r="C667" t="str">
            <v>R2685</v>
          </cell>
          <cell r="D667" t="str">
            <v>Kamal Hossain</v>
          </cell>
          <cell r="E667">
            <v>513215</v>
          </cell>
          <cell r="F667" t="str">
            <v>RTM</v>
          </cell>
          <cell r="G667" t="str">
            <v>Senior Executive</v>
          </cell>
        </row>
        <row r="668">
          <cell r="B668">
            <v>513217</v>
          </cell>
          <cell r="C668" t="str">
            <v>R2684</v>
          </cell>
          <cell r="D668" t="str">
            <v>Nadim Faruky</v>
          </cell>
          <cell r="E668">
            <v>513217</v>
          </cell>
          <cell r="F668" t="str">
            <v>RTM</v>
          </cell>
          <cell r="G668" t="str">
            <v>Senior Executive</v>
          </cell>
        </row>
        <row r="669">
          <cell r="B669">
            <v>513268</v>
          </cell>
          <cell r="C669" t="str">
            <v>AFBL(Marketing)-5886</v>
          </cell>
          <cell r="D669" t="str">
            <v>Suhaib Mohammad</v>
          </cell>
          <cell r="E669">
            <v>513268</v>
          </cell>
          <cell r="F669" t="str">
            <v>Export</v>
          </cell>
          <cell r="G669" t="str">
            <v>Territory Sales Manager</v>
          </cell>
        </row>
        <row r="670">
          <cell r="B670">
            <v>513453</v>
          </cell>
          <cell r="C670" t="str">
            <v>AFBL(Marketing)-5903</v>
          </cell>
          <cell r="D670" t="str">
            <v>Md. Obaidullah</v>
          </cell>
          <cell r="E670">
            <v>513453</v>
          </cell>
          <cell r="F670" t="str">
            <v xml:space="preserve">Cooler Management </v>
          </cell>
          <cell r="G670" t="str">
            <v>Junior Executive</v>
          </cell>
        </row>
        <row r="671">
          <cell r="B671">
            <v>514238</v>
          </cell>
          <cell r="C671" t="str">
            <v>R2696</v>
          </cell>
          <cell r="D671" t="str">
            <v>Nazmul Hasan</v>
          </cell>
          <cell r="E671">
            <v>514238</v>
          </cell>
          <cell r="F671" t="str">
            <v>Market Audit &amp; Business Intelligence</v>
          </cell>
          <cell r="G671" t="str">
            <v>Executive</v>
          </cell>
        </row>
        <row r="672">
          <cell r="B672">
            <v>514240</v>
          </cell>
          <cell r="C672" t="str">
            <v>R2697</v>
          </cell>
          <cell r="D672" t="str">
            <v>Md. Shozib Hossain</v>
          </cell>
          <cell r="E672">
            <v>514240</v>
          </cell>
          <cell r="F672" t="str">
            <v>Market Audit &amp; Business Intelligence</v>
          </cell>
          <cell r="G672" t="str">
            <v>Senior Executive</v>
          </cell>
        </row>
        <row r="673">
          <cell r="B673">
            <v>514251</v>
          </cell>
          <cell r="C673" t="str">
            <v>FR3535</v>
          </cell>
          <cell r="D673" t="str">
            <v>Alauddin</v>
          </cell>
          <cell r="E673">
            <v>514251</v>
          </cell>
          <cell r="F673" t="str">
            <v>Electrical</v>
          </cell>
          <cell r="G673" t="str">
            <v>Engineer</v>
          </cell>
        </row>
        <row r="674">
          <cell r="B674">
            <v>514552</v>
          </cell>
          <cell r="C674" t="str">
            <v>R2700</v>
          </cell>
          <cell r="D674" t="str">
            <v>Ananda Baroi</v>
          </cell>
          <cell r="E674">
            <v>514552</v>
          </cell>
          <cell r="F674" t="str">
            <v>Market Audit &amp; Business Intelligence</v>
          </cell>
          <cell r="G674" t="str">
            <v>Executive</v>
          </cell>
        </row>
        <row r="675">
          <cell r="B675">
            <v>514941</v>
          </cell>
          <cell r="C675" t="str">
            <v>AFBL(Marketing)-5931</v>
          </cell>
          <cell r="D675" t="str">
            <v>Md. Saiful Islam Khan</v>
          </cell>
          <cell r="E675">
            <v>514941</v>
          </cell>
          <cell r="F675" t="str">
            <v>Sales &amp; Marketing</v>
          </cell>
          <cell r="G675" t="str">
            <v>Territory Sales Manager</v>
          </cell>
        </row>
        <row r="676">
          <cell r="B676">
            <v>515794</v>
          </cell>
          <cell r="C676" t="str">
            <v>FR3556</v>
          </cell>
          <cell r="D676" t="str">
            <v xml:space="preserve">Md.Mahfuzul Alam </v>
          </cell>
          <cell r="E676">
            <v>515794</v>
          </cell>
          <cell r="F676" t="str">
            <v>Mechanical</v>
          </cell>
          <cell r="G676" t="str">
            <v>Assistant Engineer</v>
          </cell>
        </row>
        <row r="677">
          <cell r="B677">
            <v>517306</v>
          </cell>
          <cell r="C677" t="str">
            <v>R2714</v>
          </cell>
          <cell r="D677" t="str">
            <v>Md. Murshed Arif Mahin</v>
          </cell>
          <cell r="E677">
            <v>517306</v>
          </cell>
          <cell r="F677" t="str">
            <v>Internal Audit &amp; Compliance</v>
          </cell>
          <cell r="G677" t="str">
            <v>Deputy General Manager</v>
          </cell>
        </row>
        <row r="678">
          <cell r="B678">
            <v>517329</v>
          </cell>
          <cell r="C678" t="str">
            <v>R2716</v>
          </cell>
          <cell r="D678" t="str">
            <v>Md. Atikur Rahman</v>
          </cell>
          <cell r="E678">
            <v>517329</v>
          </cell>
          <cell r="F678" t="str">
            <v>Juice &amp; Drinks</v>
          </cell>
          <cell r="G678" t="str">
            <v>General Manager</v>
          </cell>
        </row>
        <row r="679">
          <cell r="B679">
            <v>517351</v>
          </cell>
          <cell r="C679" t="str">
            <v>AFBL(Marketing)-6022</v>
          </cell>
          <cell r="D679" t="str">
            <v>Sajon Mia</v>
          </cell>
          <cell r="E679">
            <v>517351</v>
          </cell>
          <cell r="F679" t="str">
            <v>Sales &amp; Marketing</v>
          </cell>
          <cell r="G679" t="str">
            <v>Territory Sales Manager</v>
          </cell>
        </row>
        <row r="680">
          <cell r="B680">
            <v>517353</v>
          </cell>
          <cell r="C680" t="str">
            <v>AFBL(Marketing)-6024</v>
          </cell>
          <cell r="D680" t="str">
            <v>Mohammad Manwar Hossain</v>
          </cell>
          <cell r="E680">
            <v>517353</v>
          </cell>
          <cell r="F680" t="str">
            <v>Sales &amp; Marketing</v>
          </cell>
          <cell r="G680" t="str">
            <v>Territory Sales Manager</v>
          </cell>
        </row>
        <row r="681">
          <cell r="B681">
            <v>517365</v>
          </cell>
          <cell r="C681" t="str">
            <v>AFBL(Marketing)-6033</v>
          </cell>
          <cell r="D681" t="str">
            <v>Md. Habibur Rahman</v>
          </cell>
          <cell r="E681">
            <v>517365</v>
          </cell>
          <cell r="F681" t="str">
            <v>Sales &amp; Marketing</v>
          </cell>
          <cell r="G681" t="str">
            <v>Territory Sales Manager</v>
          </cell>
        </row>
        <row r="682">
          <cell r="B682">
            <v>517489</v>
          </cell>
          <cell r="C682" t="str">
            <v>FR3565</v>
          </cell>
          <cell r="D682" t="str">
            <v>Md.Azad Rahman Raj</v>
          </cell>
          <cell r="E682">
            <v>517489</v>
          </cell>
          <cell r="F682" t="str">
            <v>Quality Control</v>
          </cell>
          <cell r="G682" t="str">
            <v>Senior Executive</v>
          </cell>
        </row>
        <row r="683">
          <cell r="B683">
            <v>518524</v>
          </cell>
          <cell r="C683" t="str">
            <v>R2730</v>
          </cell>
          <cell r="D683" t="str">
            <v>Md. Shaidul Islam</v>
          </cell>
          <cell r="E683">
            <v>518524</v>
          </cell>
          <cell r="F683" t="str">
            <v>Accounts And Finance</v>
          </cell>
          <cell r="G683" t="str">
            <v>Deputy General Manager</v>
          </cell>
        </row>
        <row r="684">
          <cell r="B684">
            <v>520715</v>
          </cell>
          <cell r="C684" t="str">
            <v>AFBL(Marketing)-6108</v>
          </cell>
          <cell r="D684" t="str">
            <v>Md. Mehedi Hasan</v>
          </cell>
          <cell r="E684">
            <v>520715</v>
          </cell>
          <cell r="F684" t="str">
            <v>Sales &amp; Marketing</v>
          </cell>
          <cell r="G684" t="str">
            <v>Territory Sales Manager</v>
          </cell>
        </row>
        <row r="685">
          <cell r="B685">
            <v>520721</v>
          </cell>
          <cell r="C685" t="str">
            <v>AFBL(Marketing)-6110</v>
          </cell>
          <cell r="D685" t="str">
            <v>Abdul Gaffar</v>
          </cell>
          <cell r="E685">
            <v>520721</v>
          </cell>
          <cell r="F685" t="str">
            <v>Sales &amp; Marketing</v>
          </cell>
          <cell r="G685" t="str">
            <v>Territory Sales Manager</v>
          </cell>
        </row>
        <row r="686">
          <cell r="B686">
            <v>520724</v>
          </cell>
          <cell r="C686" t="str">
            <v>AFBL(Marketing)-6111</v>
          </cell>
          <cell r="D686" t="str">
            <v>Md. Moshfequr Rahman</v>
          </cell>
          <cell r="E686">
            <v>520724</v>
          </cell>
          <cell r="F686" t="str">
            <v>Sales &amp; Marketing</v>
          </cell>
          <cell r="G686" t="str">
            <v>Territory Sales Manager</v>
          </cell>
        </row>
        <row r="687">
          <cell r="B687">
            <v>521177</v>
          </cell>
          <cell r="C687" t="str">
            <v>AFBL(Marketing)-6118</v>
          </cell>
          <cell r="D687" t="str">
            <v>Md. Jamrul Hasan</v>
          </cell>
          <cell r="E687">
            <v>521177</v>
          </cell>
          <cell r="F687" t="str">
            <v>Sales &amp; Marketing</v>
          </cell>
          <cell r="G687" t="str">
            <v>Territory Sales Manager</v>
          </cell>
        </row>
        <row r="688">
          <cell r="B688">
            <v>523522</v>
          </cell>
          <cell r="C688" t="str">
            <v>R2788</v>
          </cell>
          <cell r="D688" t="str">
            <v>Md. Roman Bhuiyan</v>
          </cell>
          <cell r="E688">
            <v>523522</v>
          </cell>
          <cell r="F688" t="str">
            <v>Modern Trade</v>
          </cell>
          <cell r="G688" t="str">
            <v>Assistant Manager</v>
          </cell>
        </row>
        <row r="689">
          <cell r="B689">
            <v>523557</v>
          </cell>
          <cell r="C689" t="str">
            <v>R2798</v>
          </cell>
          <cell r="D689" t="str">
            <v>Md. Wakil Hossain</v>
          </cell>
          <cell r="E689">
            <v>523557</v>
          </cell>
          <cell r="F689" t="str">
            <v xml:space="preserve">Cooler Management </v>
          </cell>
          <cell r="G689" t="str">
            <v>Junior Executive</v>
          </cell>
        </row>
        <row r="690">
          <cell r="B690">
            <v>523586</v>
          </cell>
          <cell r="C690" t="str">
            <v>AFBL(Marketing)-6233</v>
          </cell>
          <cell r="D690" t="str">
            <v>Md. Azizur Rahman</v>
          </cell>
          <cell r="E690">
            <v>523586</v>
          </cell>
          <cell r="F690" t="str">
            <v>Sales &amp; Marketing</v>
          </cell>
          <cell r="G690" t="str">
            <v>Territory Sales Manager</v>
          </cell>
        </row>
        <row r="691">
          <cell r="B691">
            <v>523768</v>
          </cell>
          <cell r="C691" t="str">
            <v>AFBL(Marketing)-6360</v>
          </cell>
          <cell r="D691" t="str">
            <v>Md. Azam Faruk</v>
          </cell>
          <cell r="E691">
            <v>523768</v>
          </cell>
          <cell r="F691" t="str">
            <v>Sales &amp; Marketing</v>
          </cell>
          <cell r="G691" t="str">
            <v>Territory Sales Manager</v>
          </cell>
        </row>
        <row r="692">
          <cell r="B692">
            <v>523769</v>
          </cell>
          <cell r="C692" t="str">
            <v>AFBL(Marketing)-6361</v>
          </cell>
          <cell r="D692" t="str">
            <v>Wahiduzzaman</v>
          </cell>
          <cell r="E692">
            <v>523769</v>
          </cell>
          <cell r="F692" t="str">
            <v>Distribution</v>
          </cell>
          <cell r="G692" t="str">
            <v>Junior Executive</v>
          </cell>
        </row>
        <row r="693">
          <cell r="B693">
            <v>523870</v>
          </cell>
          <cell r="C693" t="str">
            <v>C252</v>
          </cell>
          <cell r="D693" t="str">
            <v>Faria Jannat</v>
          </cell>
          <cell r="E693">
            <v>523870</v>
          </cell>
          <cell r="F693" t="str">
            <v>Admin</v>
          </cell>
          <cell r="G693" t="str">
            <v>Physiotherapist</v>
          </cell>
        </row>
        <row r="694">
          <cell r="B694">
            <v>523872</v>
          </cell>
          <cell r="C694" t="str">
            <v>AFBL(Marketing)-6398</v>
          </cell>
          <cell r="D694" t="str">
            <v>Mozammal Haque</v>
          </cell>
          <cell r="E694">
            <v>523872</v>
          </cell>
          <cell r="F694" t="str">
            <v>Sales &amp; Marketing</v>
          </cell>
          <cell r="G694" t="str">
            <v>Territory Sales Manager</v>
          </cell>
        </row>
        <row r="695">
          <cell r="B695">
            <v>523877</v>
          </cell>
          <cell r="C695" t="str">
            <v>AFBL(Marketing)-6403</v>
          </cell>
          <cell r="D695" t="str">
            <v>Md. Shariful Islam</v>
          </cell>
          <cell r="E695">
            <v>523877</v>
          </cell>
          <cell r="F695" t="str">
            <v>Sales &amp; Marketing</v>
          </cell>
          <cell r="G695" t="str">
            <v>Territory Sales Manager</v>
          </cell>
        </row>
        <row r="696">
          <cell r="B696">
            <v>523879</v>
          </cell>
          <cell r="C696" t="str">
            <v>AFBL(Marketing)-6405</v>
          </cell>
          <cell r="D696" t="str">
            <v>Md. Azmul Haque</v>
          </cell>
          <cell r="E696">
            <v>523879</v>
          </cell>
          <cell r="F696" t="str">
            <v>Sales &amp; Marketing</v>
          </cell>
          <cell r="G696" t="str">
            <v>Territory Sales Manager</v>
          </cell>
        </row>
        <row r="697">
          <cell r="B697">
            <v>523881</v>
          </cell>
          <cell r="C697" t="str">
            <v>AFBL(Marketing)-6407</v>
          </cell>
          <cell r="D697" t="str">
            <v>Sohel Rana</v>
          </cell>
          <cell r="E697">
            <v>523881</v>
          </cell>
          <cell r="F697" t="str">
            <v>Sales &amp; Marketing</v>
          </cell>
          <cell r="G697" t="str">
            <v>Territory Sales Manager</v>
          </cell>
        </row>
        <row r="698">
          <cell r="B698">
            <v>523882</v>
          </cell>
          <cell r="C698" t="str">
            <v>AFBL(Marketing)-6408</v>
          </cell>
          <cell r="D698" t="str">
            <v>Montu Chowdhury</v>
          </cell>
          <cell r="E698">
            <v>523882</v>
          </cell>
          <cell r="F698" t="str">
            <v>Sales &amp; Marketing</v>
          </cell>
          <cell r="G698" t="str">
            <v>Territory Sales Manager</v>
          </cell>
        </row>
        <row r="699">
          <cell r="B699">
            <v>523896</v>
          </cell>
          <cell r="C699" t="str">
            <v>AFBL(Marketing)-6409</v>
          </cell>
          <cell r="D699" t="str">
            <v>Jannatul Wahed</v>
          </cell>
          <cell r="E699">
            <v>523896</v>
          </cell>
          <cell r="F699" t="str">
            <v>Sales &amp; Marketing</v>
          </cell>
          <cell r="G699" t="str">
            <v>Territory Sales Manager</v>
          </cell>
        </row>
        <row r="700">
          <cell r="B700">
            <v>524110</v>
          </cell>
          <cell r="C700" t="str">
            <v>AFBL(Marketing)-6544</v>
          </cell>
          <cell r="D700" t="str">
            <v>Md. Anwar Hossen</v>
          </cell>
          <cell r="E700">
            <v>524110</v>
          </cell>
          <cell r="F700" t="str">
            <v>Sales &amp; Marketing</v>
          </cell>
          <cell r="G700" t="str">
            <v>Territory Sales Manager</v>
          </cell>
        </row>
        <row r="701">
          <cell r="B701">
            <v>524111</v>
          </cell>
          <cell r="C701" t="str">
            <v>AFBL(Marketing)-6545</v>
          </cell>
          <cell r="D701" t="str">
            <v>SK Sakib Ystiak</v>
          </cell>
          <cell r="E701">
            <v>524111</v>
          </cell>
          <cell r="F701" t="str">
            <v>Sales &amp; Marketing</v>
          </cell>
          <cell r="G701" t="str">
            <v>Territory Sales Manager</v>
          </cell>
        </row>
        <row r="702">
          <cell r="B702">
            <v>524207</v>
          </cell>
          <cell r="C702" t="str">
            <v>AFBLHFR-11</v>
          </cell>
          <cell r="D702" t="str">
            <v>Iklas Sheikh</v>
          </cell>
          <cell r="E702">
            <v>524207</v>
          </cell>
          <cell r="F702" t="str">
            <v>Admin</v>
          </cell>
          <cell r="G702" t="str">
            <v>Executive</v>
          </cell>
        </row>
        <row r="703">
          <cell r="B703">
            <v>524210</v>
          </cell>
          <cell r="C703" t="str">
            <v>R2871</v>
          </cell>
          <cell r="D703" t="str">
            <v>Md. Faruk Hossain</v>
          </cell>
          <cell r="E703">
            <v>524210</v>
          </cell>
          <cell r="F703" t="str">
            <v>Internal Audit &amp; Compliance</v>
          </cell>
          <cell r="G703" t="str">
            <v>Executive</v>
          </cell>
        </row>
        <row r="704">
          <cell r="B704">
            <v>524212</v>
          </cell>
          <cell r="C704" t="str">
            <v>R2873</v>
          </cell>
          <cell r="D704" t="str">
            <v>Md. Karim Uddin</v>
          </cell>
          <cell r="E704">
            <v>524212</v>
          </cell>
          <cell r="F704" t="str">
            <v>Market Audit &amp; Business Intelligence</v>
          </cell>
          <cell r="G704" t="str">
            <v>Executive</v>
          </cell>
        </row>
        <row r="705">
          <cell r="B705">
            <v>524215</v>
          </cell>
          <cell r="C705" t="str">
            <v>R2876</v>
          </cell>
          <cell r="D705" t="str">
            <v>Md. Refatuzzaman Nice</v>
          </cell>
          <cell r="E705">
            <v>524215</v>
          </cell>
          <cell r="F705" t="str">
            <v>Market Audit &amp; Business Intelligence</v>
          </cell>
          <cell r="G705" t="str">
            <v>Executive</v>
          </cell>
        </row>
        <row r="706">
          <cell r="B706">
            <v>524228</v>
          </cell>
          <cell r="C706" t="str">
            <v>FR3672</v>
          </cell>
          <cell r="D706" t="str">
            <v>Mehedi Hasan</v>
          </cell>
          <cell r="E706">
            <v>524228</v>
          </cell>
          <cell r="F706" t="str">
            <v xml:space="preserve">Power </v>
          </cell>
          <cell r="G706" t="str">
            <v>Assistant General Manager</v>
          </cell>
        </row>
        <row r="707">
          <cell r="B707">
            <v>524235</v>
          </cell>
          <cell r="C707" t="str">
            <v>FR3673</v>
          </cell>
          <cell r="D707" t="str">
            <v>Md. Helal Uddin</v>
          </cell>
          <cell r="E707">
            <v>524235</v>
          </cell>
          <cell r="F707" t="str">
            <v>HR</v>
          </cell>
          <cell r="G707" t="str">
            <v>Senior Executive</v>
          </cell>
        </row>
        <row r="708">
          <cell r="B708">
            <v>524241</v>
          </cell>
          <cell r="C708" t="str">
            <v>AMPL-R01</v>
          </cell>
          <cell r="D708" t="str">
            <v>Muhammad Mamun Bapari</v>
          </cell>
          <cell r="E708">
            <v>524241</v>
          </cell>
          <cell r="F708" t="str">
            <v>Regulatory Affairs</v>
          </cell>
          <cell r="G708" t="str">
            <v>Deputy Manager</v>
          </cell>
        </row>
        <row r="709">
          <cell r="B709">
            <v>524285</v>
          </cell>
          <cell r="C709" t="str">
            <v>AFBL(Marketing)-6611</v>
          </cell>
          <cell r="D709" t="str">
            <v>Md. Rafiqul Islam</v>
          </cell>
          <cell r="E709">
            <v>524285</v>
          </cell>
          <cell r="F709" t="str">
            <v>Sales &amp; Marketing</v>
          </cell>
          <cell r="G709" t="str">
            <v>Regional Sales Manager</v>
          </cell>
        </row>
        <row r="710">
          <cell r="B710">
            <v>524361</v>
          </cell>
          <cell r="C710" t="str">
            <v>FR3697</v>
          </cell>
          <cell r="D710" t="str">
            <v>Md. Abul Bashar</v>
          </cell>
          <cell r="E710">
            <v>524361</v>
          </cell>
          <cell r="F710" t="str">
            <v>Security</v>
          </cell>
          <cell r="G710" t="str">
            <v xml:space="preserve">Officer </v>
          </cell>
        </row>
        <row r="711">
          <cell r="B711">
            <v>524371</v>
          </cell>
          <cell r="C711" t="str">
            <v>R2887</v>
          </cell>
          <cell r="D711" t="str">
            <v>Md. Alauddin Al Ashik</v>
          </cell>
          <cell r="E711">
            <v>524371</v>
          </cell>
          <cell r="F711" t="str">
            <v xml:space="preserve">Cooler Management </v>
          </cell>
          <cell r="G711" t="str">
            <v>Junior Executive</v>
          </cell>
        </row>
        <row r="712">
          <cell r="B712">
            <v>524413</v>
          </cell>
          <cell r="C712" t="str">
            <v>FR3713</v>
          </cell>
          <cell r="D712" t="str">
            <v>Sohel Rana</v>
          </cell>
          <cell r="E712">
            <v>524413</v>
          </cell>
          <cell r="F712" t="str">
            <v>Snacks</v>
          </cell>
          <cell r="G712" t="str">
            <v>Senior Executive</v>
          </cell>
        </row>
        <row r="713">
          <cell r="B713">
            <v>524475</v>
          </cell>
          <cell r="C713" t="str">
            <v>R2892</v>
          </cell>
          <cell r="D713" t="str">
            <v>Md. Atikur Rahaman</v>
          </cell>
          <cell r="E713">
            <v>524475</v>
          </cell>
          <cell r="F713" t="str">
            <v>Supply Chain</v>
          </cell>
          <cell r="G713" t="str">
            <v>Senior Executive</v>
          </cell>
        </row>
        <row r="714">
          <cell r="B714">
            <v>524747</v>
          </cell>
          <cell r="C714" t="str">
            <v>AFBLHFR-10</v>
          </cell>
          <cell r="D714" t="str">
            <v>Md. Badiuzzaman</v>
          </cell>
          <cell r="E714">
            <v>524747</v>
          </cell>
          <cell r="F714" t="str">
            <v>Security</v>
          </cell>
          <cell r="G714" t="str">
            <v>Senior Executive</v>
          </cell>
        </row>
        <row r="715">
          <cell r="B715">
            <v>524753</v>
          </cell>
          <cell r="C715" t="str">
            <v>FR3758</v>
          </cell>
          <cell r="D715" t="str">
            <v>Tarek Rana</v>
          </cell>
          <cell r="E715">
            <v>524753</v>
          </cell>
          <cell r="F715" t="str">
            <v>CSD</v>
          </cell>
          <cell r="G715" t="str">
            <v>Executive</v>
          </cell>
        </row>
        <row r="716">
          <cell r="B716">
            <v>524758</v>
          </cell>
          <cell r="C716" t="str">
            <v>R2919</v>
          </cell>
          <cell r="D716" t="str">
            <v>Md. Moklesur Rahman</v>
          </cell>
          <cell r="E716">
            <v>524758</v>
          </cell>
          <cell r="F716" t="str">
            <v>Accounts And Finance</v>
          </cell>
          <cell r="G716" t="str">
            <v>Manager</v>
          </cell>
        </row>
        <row r="717">
          <cell r="B717">
            <v>524759</v>
          </cell>
          <cell r="C717" t="str">
            <v>AFBL(Marketing)-6801</v>
          </cell>
          <cell r="D717" t="str">
            <v>Md. Sentu Rahman</v>
          </cell>
          <cell r="E717">
            <v>524759</v>
          </cell>
          <cell r="F717" t="str">
            <v>Export</v>
          </cell>
          <cell r="G717" t="str">
            <v>Sales Development Manager</v>
          </cell>
        </row>
        <row r="718">
          <cell r="B718">
            <v>524771</v>
          </cell>
          <cell r="C718" t="str">
            <v>AFBL(Marketing)-6813</v>
          </cell>
          <cell r="D718" t="str">
            <v>Md. Joshim Uddin</v>
          </cell>
          <cell r="E718">
            <v>524771</v>
          </cell>
          <cell r="F718" t="str">
            <v>Sales &amp; Marketing</v>
          </cell>
          <cell r="G718" t="str">
            <v>Territory Sales Manager</v>
          </cell>
        </row>
        <row r="719">
          <cell r="B719">
            <v>524772</v>
          </cell>
          <cell r="C719" t="str">
            <v>AFBL(Marketing)-6814</v>
          </cell>
          <cell r="D719" t="str">
            <v>Muhammad Zakir Hosen</v>
          </cell>
          <cell r="E719">
            <v>524772</v>
          </cell>
          <cell r="F719" t="str">
            <v>Sales &amp; Marketing</v>
          </cell>
          <cell r="G719" t="str">
            <v>Territory Sales Manager</v>
          </cell>
        </row>
        <row r="720">
          <cell r="B720">
            <v>524854</v>
          </cell>
          <cell r="C720" t="str">
            <v>FR3764</v>
          </cell>
          <cell r="D720" t="str">
            <v>Md. Nahidul Islam</v>
          </cell>
          <cell r="E720">
            <v>524854</v>
          </cell>
          <cell r="F720" t="str">
            <v>Drinking Water Plant</v>
          </cell>
          <cell r="G720" t="str">
            <v>Executive</v>
          </cell>
        </row>
        <row r="721">
          <cell r="B721">
            <v>524856</v>
          </cell>
          <cell r="C721" t="str">
            <v>R2923</v>
          </cell>
          <cell r="D721" t="str">
            <v>Md. Golam Moktadi</v>
          </cell>
          <cell r="E721">
            <v>524856</v>
          </cell>
          <cell r="F721" t="str">
            <v xml:space="preserve">Cooler Management </v>
          </cell>
          <cell r="G721" t="str">
            <v>Junior Executive</v>
          </cell>
        </row>
        <row r="722">
          <cell r="B722">
            <v>524938</v>
          </cell>
          <cell r="C722" t="str">
            <v xml:space="preserve">R2934 </v>
          </cell>
          <cell r="D722" t="str">
            <v>Md. Lutful Bary Abir</v>
          </cell>
          <cell r="E722">
            <v>524938</v>
          </cell>
          <cell r="F722" t="str">
            <v>Admin</v>
          </cell>
          <cell r="G722" t="str">
            <v>Assistant Manager</v>
          </cell>
        </row>
        <row r="723">
          <cell r="B723">
            <v>524971</v>
          </cell>
          <cell r="C723" t="str">
            <v>R2940</v>
          </cell>
          <cell r="D723" t="str">
            <v>Sakib Hossain</v>
          </cell>
          <cell r="E723">
            <v>524971</v>
          </cell>
          <cell r="F723" t="str">
            <v>Vat Department</v>
          </cell>
          <cell r="G723" t="str">
            <v>Senior Executive</v>
          </cell>
        </row>
        <row r="724">
          <cell r="B724">
            <v>524987</v>
          </cell>
          <cell r="C724" t="str">
            <v>FR3797</v>
          </cell>
          <cell r="D724" t="str">
            <v>Md. Saidur Rahman Chowdhury</v>
          </cell>
          <cell r="E724">
            <v>524987</v>
          </cell>
          <cell r="F724" t="str">
            <v>Quality Control</v>
          </cell>
          <cell r="G724" t="str">
            <v>Executive</v>
          </cell>
        </row>
        <row r="725">
          <cell r="B725">
            <v>525012</v>
          </cell>
          <cell r="C725" t="str">
            <v>AFBL(Marketing)-6920</v>
          </cell>
          <cell r="D725" t="str">
            <v>Shahin Mia</v>
          </cell>
          <cell r="E725">
            <v>525012</v>
          </cell>
          <cell r="F725" t="str">
            <v>Sales &amp; Marketing</v>
          </cell>
          <cell r="G725" t="str">
            <v>Territory Sales Manager</v>
          </cell>
        </row>
        <row r="726">
          <cell r="B726">
            <v>525041</v>
          </cell>
          <cell r="C726" t="str">
            <v>FR3799</v>
          </cell>
          <cell r="D726" t="str">
            <v xml:space="preserve">Faysal </v>
          </cell>
          <cell r="E726">
            <v>525041</v>
          </cell>
          <cell r="F726" t="str">
            <v>Aseptic Juice</v>
          </cell>
          <cell r="G726" t="str">
            <v>Assistant Engineer</v>
          </cell>
        </row>
        <row r="727">
          <cell r="B727">
            <v>525072</v>
          </cell>
          <cell r="C727" t="str">
            <v>AFBL(Marketing)-6959</v>
          </cell>
          <cell r="D727" t="str">
            <v>Md. Chan Mia</v>
          </cell>
          <cell r="E727">
            <v>525072</v>
          </cell>
          <cell r="F727" t="str">
            <v>Sales &amp; Marketing</v>
          </cell>
          <cell r="G727" t="str">
            <v>Territory Sales Manager</v>
          </cell>
        </row>
        <row r="728">
          <cell r="B728">
            <v>525144</v>
          </cell>
          <cell r="C728" t="str">
            <v>R3014</v>
          </cell>
          <cell r="D728" t="str">
            <v>Md. Kayser Azad</v>
          </cell>
          <cell r="E728">
            <v>525144</v>
          </cell>
          <cell r="F728" t="str">
            <v>Institutional Sales</v>
          </cell>
          <cell r="G728" t="str">
            <v>Deputy Manager</v>
          </cell>
        </row>
        <row r="729">
          <cell r="B729">
            <v>525147</v>
          </cell>
          <cell r="C729" t="str">
            <v>AFBL(Marketing)-6982</v>
          </cell>
          <cell r="D729" t="str">
            <v>Md. Delowar Hossain</v>
          </cell>
          <cell r="E729">
            <v>525147</v>
          </cell>
          <cell r="F729" t="str">
            <v>Sales &amp; Marketing</v>
          </cell>
          <cell r="G729" t="str">
            <v>Area Sales Manager</v>
          </cell>
        </row>
        <row r="730">
          <cell r="B730">
            <v>525154</v>
          </cell>
          <cell r="C730" t="str">
            <v>AFBL(Marketing)-6984</v>
          </cell>
          <cell r="D730" t="str">
            <v>Md. Yunus Ali</v>
          </cell>
          <cell r="E730">
            <v>525154</v>
          </cell>
          <cell r="F730" t="str">
            <v>Sales &amp; Marketing</v>
          </cell>
          <cell r="G730" t="str">
            <v>Area Sales Manager</v>
          </cell>
        </row>
        <row r="731">
          <cell r="B731">
            <v>525155</v>
          </cell>
          <cell r="C731" t="str">
            <v>AFBL(Marketing)-6985</v>
          </cell>
          <cell r="D731" t="str">
            <v>Md. Sazib Sardar</v>
          </cell>
          <cell r="E731">
            <v>525155</v>
          </cell>
          <cell r="F731" t="str">
            <v>Sales &amp; Marketing</v>
          </cell>
          <cell r="G731" t="str">
            <v>Area Sales Manager</v>
          </cell>
        </row>
        <row r="732">
          <cell r="B732">
            <v>525226</v>
          </cell>
          <cell r="C732" t="str">
            <v>R3015</v>
          </cell>
          <cell r="D732" t="str">
            <v>Md. Sanowar Hosain</v>
          </cell>
          <cell r="E732">
            <v>525226</v>
          </cell>
          <cell r="F732" t="str">
            <v>Institutional Sales</v>
          </cell>
          <cell r="G732" t="str">
            <v>Senior Executive</v>
          </cell>
        </row>
        <row r="733">
          <cell r="B733">
            <v>525229</v>
          </cell>
          <cell r="C733" t="str">
            <v>R3016</v>
          </cell>
          <cell r="D733" t="str">
            <v>Md. Shaikh Rasel</v>
          </cell>
          <cell r="E733">
            <v>525229</v>
          </cell>
          <cell r="F733" t="str">
            <v>New Project &amp; Development</v>
          </cell>
          <cell r="G733" t="str">
            <v>Executive</v>
          </cell>
        </row>
        <row r="734">
          <cell r="B734">
            <v>525238</v>
          </cell>
          <cell r="C734" t="str">
            <v>FR3831</v>
          </cell>
          <cell r="D734" t="str">
            <v>Parves Akando Jony</v>
          </cell>
          <cell r="E734">
            <v>525238</v>
          </cell>
          <cell r="F734" t="str">
            <v>Quality Control</v>
          </cell>
          <cell r="G734" t="str">
            <v>Junior Executive</v>
          </cell>
        </row>
        <row r="735">
          <cell r="B735">
            <v>525248</v>
          </cell>
          <cell r="C735" t="str">
            <v>R3018</v>
          </cell>
          <cell r="D735" t="str">
            <v>Md. Mamunur Rashid</v>
          </cell>
          <cell r="E735">
            <v>525248</v>
          </cell>
          <cell r="F735" t="str">
            <v>Accounts And Finance</v>
          </cell>
          <cell r="G735" t="str">
            <v>Junior Executive</v>
          </cell>
        </row>
        <row r="736">
          <cell r="B736">
            <v>525382</v>
          </cell>
          <cell r="C736" t="str">
            <v>AFBL(Marketing)-7046</v>
          </cell>
          <cell r="D736" t="str">
            <v>Md. Delor Zahan</v>
          </cell>
          <cell r="E736">
            <v>525382</v>
          </cell>
          <cell r="F736" t="str">
            <v>Sales &amp; Marketing</v>
          </cell>
          <cell r="G736" t="str">
            <v>Area Sales Manager</v>
          </cell>
        </row>
        <row r="737">
          <cell r="B737">
            <v>525472</v>
          </cell>
          <cell r="C737" t="str">
            <v>FR3863</v>
          </cell>
          <cell r="D737" t="str">
            <v>Rashedul Islam</v>
          </cell>
          <cell r="E737">
            <v>525472</v>
          </cell>
          <cell r="F737" t="str">
            <v>Quality Control</v>
          </cell>
          <cell r="G737" t="str">
            <v>Executive</v>
          </cell>
        </row>
        <row r="738">
          <cell r="B738">
            <v>525501</v>
          </cell>
          <cell r="C738" t="str">
            <v>AVL-R37</v>
          </cell>
          <cell r="D738" t="str">
            <v>Shafrin Sultana Biva</v>
          </cell>
          <cell r="E738">
            <v>525501</v>
          </cell>
          <cell r="F738" t="str">
            <v>Architectural Planning &amp; Design</v>
          </cell>
          <cell r="G738" t="str">
            <v>Manager</v>
          </cell>
        </row>
        <row r="739">
          <cell r="B739">
            <v>525550</v>
          </cell>
          <cell r="C739" t="str">
            <v>AVL-R42</v>
          </cell>
          <cell r="D739" t="str">
            <v>Shahidul Islam</v>
          </cell>
          <cell r="E739">
            <v>525550</v>
          </cell>
          <cell r="F739" t="str">
            <v>Civil</v>
          </cell>
          <cell r="G739" t="str">
            <v>Executive</v>
          </cell>
        </row>
        <row r="740">
          <cell r="B740">
            <v>525573</v>
          </cell>
          <cell r="C740" t="str">
            <v>R2983</v>
          </cell>
          <cell r="D740" t="str">
            <v>Md. Nasir Uddin</v>
          </cell>
          <cell r="E740">
            <v>525573</v>
          </cell>
          <cell r="F740" t="str">
            <v>HR</v>
          </cell>
          <cell r="G740" t="str">
            <v>Senior Executive</v>
          </cell>
        </row>
        <row r="741">
          <cell r="B741">
            <v>525664</v>
          </cell>
          <cell r="C741" t="str">
            <v>AFBL(Marketing)-7157</v>
          </cell>
          <cell r="D741" t="str">
            <v>Md. Mahamudul Hasan</v>
          </cell>
          <cell r="E741">
            <v>525664</v>
          </cell>
          <cell r="F741" t="str">
            <v>Sales &amp; Marketing</v>
          </cell>
          <cell r="G741" t="str">
            <v>Territory Sales Manager</v>
          </cell>
        </row>
        <row r="742">
          <cell r="B742">
            <v>525676</v>
          </cell>
          <cell r="C742" t="str">
            <v>AFBL(Marketing)-7170</v>
          </cell>
          <cell r="D742" t="str">
            <v>Salim Reza</v>
          </cell>
          <cell r="E742">
            <v>525676</v>
          </cell>
          <cell r="F742" t="str">
            <v>Sales &amp; Marketing</v>
          </cell>
          <cell r="G742" t="str">
            <v>Area Sales Manager</v>
          </cell>
        </row>
        <row r="743">
          <cell r="B743">
            <v>525690</v>
          </cell>
          <cell r="C743" t="str">
            <v>AFBL(Marketing)-7174</v>
          </cell>
          <cell r="D743" t="str">
            <v>Maruf Hasan</v>
          </cell>
          <cell r="E743">
            <v>525690</v>
          </cell>
          <cell r="F743" t="str">
            <v>Sales &amp; Marketing</v>
          </cell>
          <cell r="G743" t="str">
            <v>Territory Sales Manager</v>
          </cell>
        </row>
        <row r="744">
          <cell r="B744">
            <v>525812</v>
          </cell>
          <cell r="C744" t="str">
            <v>R2994</v>
          </cell>
          <cell r="D744" t="str">
            <v>Md. Shohel Haque</v>
          </cell>
          <cell r="E744">
            <v>525812</v>
          </cell>
          <cell r="F744" t="str">
            <v>Institutional Sales</v>
          </cell>
          <cell r="G744" t="str">
            <v>Junior Executive</v>
          </cell>
        </row>
        <row r="745">
          <cell r="B745">
            <v>525819</v>
          </cell>
          <cell r="C745" t="str">
            <v xml:space="preserve">R2998 </v>
          </cell>
          <cell r="D745" t="str">
            <v>Md. Nazmus Saquib</v>
          </cell>
          <cell r="E745">
            <v>525819</v>
          </cell>
          <cell r="F745" t="str">
            <v>Chairman Office</v>
          </cell>
          <cell r="G745" t="str">
            <v>Assistant Manager</v>
          </cell>
        </row>
        <row r="746">
          <cell r="B746">
            <v>525837</v>
          </cell>
          <cell r="C746" t="str">
            <v xml:space="preserve">R2999 </v>
          </cell>
          <cell r="D746" t="str">
            <v>Md. Moklesur Rahman Akhtar</v>
          </cell>
          <cell r="E746">
            <v>525837</v>
          </cell>
          <cell r="F746" t="str">
            <v>Accounts And Finance</v>
          </cell>
          <cell r="G746" t="str">
            <v>CFO</v>
          </cell>
        </row>
        <row r="747">
          <cell r="B747">
            <v>525843</v>
          </cell>
          <cell r="C747" t="str">
            <v>AFBL(Marketing)-7255</v>
          </cell>
          <cell r="D747" t="str">
            <v>Md. Alauddin</v>
          </cell>
          <cell r="E747">
            <v>525843</v>
          </cell>
          <cell r="F747" t="str">
            <v>Sales &amp; Marketing</v>
          </cell>
          <cell r="G747" t="str">
            <v>Territory Sales Manager</v>
          </cell>
        </row>
        <row r="748">
          <cell r="B748">
            <v>525848</v>
          </cell>
          <cell r="C748" t="str">
            <v>FR3908</v>
          </cell>
          <cell r="D748" t="str">
            <v>Md. Tariqul Islam</v>
          </cell>
          <cell r="E748">
            <v>525848</v>
          </cell>
          <cell r="F748" t="str">
            <v>Quality Control</v>
          </cell>
          <cell r="G748" t="str">
            <v>Junior Executive</v>
          </cell>
        </row>
        <row r="749">
          <cell r="B749">
            <v>525850</v>
          </cell>
          <cell r="C749" t="str">
            <v>FR3910</v>
          </cell>
          <cell r="D749" t="str">
            <v>Md. Ahadul Islam</v>
          </cell>
          <cell r="E749">
            <v>525850</v>
          </cell>
          <cell r="F749" t="str">
            <v>Aseptic Juice</v>
          </cell>
          <cell r="G749" t="str">
            <v>Executive</v>
          </cell>
        </row>
        <row r="750">
          <cell r="B750">
            <v>525895</v>
          </cell>
          <cell r="C750" t="str">
            <v>FR3915</v>
          </cell>
          <cell r="D750" t="str">
            <v>Md. Rakibul Hassan</v>
          </cell>
          <cell r="E750">
            <v>525895</v>
          </cell>
          <cell r="F750" t="str">
            <v>Mechanical</v>
          </cell>
          <cell r="G750" t="str">
            <v>Assistant Engineer</v>
          </cell>
        </row>
        <row r="751">
          <cell r="B751">
            <v>525907</v>
          </cell>
          <cell r="C751" t="str">
            <v>R3038</v>
          </cell>
          <cell r="D751" t="str">
            <v>Md. Mazharul Islam</v>
          </cell>
          <cell r="E751">
            <v>525907</v>
          </cell>
          <cell r="F751" t="str">
            <v>Institutional Sales</v>
          </cell>
          <cell r="G751" t="str">
            <v>Assistant Manager</v>
          </cell>
        </row>
        <row r="752">
          <cell r="B752">
            <v>525909</v>
          </cell>
          <cell r="C752" t="str">
            <v>R3040</v>
          </cell>
          <cell r="D752" t="str">
            <v>Mohammad Akash</v>
          </cell>
          <cell r="E752">
            <v>525909</v>
          </cell>
          <cell r="F752" t="str">
            <v>Institutional Sales</v>
          </cell>
          <cell r="G752" t="str">
            <v>Junior Executive</v>
          </cell>
        </row>
        <row r="753">
          <cell r="B753">
            <v>525912</v>
          </cell>
          <cell r="C753" t="str">
            <v>R3042</v>
          </cell>
          <cell r="D753" t="str">
            <v>Ziasmin Khatun</v>
          </cell>
          <cell r="E753">
            <v>525912</v>
          </cell>
          <cell r="F753" t="str">
            <v>Creative</v>
          </cell>
          <cell r="G753" t="str">
            <v>Executive</v>
          </cell>
        </row>
        <row r="754">
          <cell r="B754">
            <v>526958</v>
          </cell>
          <cell r="C754" t="str">
            <v>AFBL(Marketing)-7294</v>
          </cell>
          <cell r="D754" t="str">
            <v>Md. Mahmudul Hasan</v>
          </cell>
          <cell r="E754">
            <v>526958</v>
          </cell>
          <cell r="F754" t="str">
            <v>Sales &amp; Marketing</v>
          </cell>
          <cell r="G754" t="str">
            <v>Territory Sales Manager</v>
          </cell>
        </row>
        <row r="755">
          <cell r="B755">
            <v>526982</v>
          </cell>
          <cell r="C755" t="str">
            <v>FR3928</v>
          </cell>
          <cell r="D755" t="str">
            <v>Md. Sumon Hossain</v>
          </cell>
          <cell r="E755">
            <v>526982</v>
          </cell>
          <cell r="F755" t="str">
            <v>Accounts And Finance</v>
          </cell>
          <cell r="G755" t="str">
            <v>Deputy Manager</v>
          </cell>
        </row>
        <row r="756">
          <cell r="B756">
            <v>526984</v>
          </cell>
          <cell r="C756" t="str">
            <v>FR3930</v>
          </cell>
          <cell r="D756" t="str">
            <v>Md. Kamal Hossain</v>
          </cell>
          <cell r="E756">
            <v>526984</v>
          </cell>
          <cell r="F756" t="str">
            <v>Civil</v>
          </cell>
          <cell r="G756" t="str">
            <v>Assistant Engineer</v>
          </cell>
        </row>
        <row r="757">
          <cell r="B757">
            <v>526994</v>
          </cell>
          <cell r="C757" t="str">
            <v>AFBL(Marketing)-7299</v>
          </cell>
          <cell r="D757" t="str">
            <v>Md. Saiful Islam</v>
          </cell>
          <cell r="E757">
            <v>526994</v>
          </cell>
          <cell r="F757" t="str">
            <v>Sales &amp; Marketing</v>
          </cell>
          <cell r="G757" t="str">
            <v>Territory Sales Manager</v>
          </cell>
        </row>
        <row r="758">
          <cell r="B758">
            <v>527019</v>
          </cell>
          <cell r="C758" t="str">
            <v>R3048</v>
          </cell>
          <cell r="D758" t="str">
            <v>Kaniz Fatiha Shifa</v>
          </cell>
          <cell r="E758">
            <v>527019</v>
          </cell>
          <cell r="F758" t="str">
            <v>Internal Audit &amp; Compliance</v>
          </cell>
          <cell r="G758" t="str">
            <v>Senior Executive</v>
          </cell>
        </row>
        <row r="759">
          <cell r="B759">
            <v>527112</v>
          </cell>
          <cell r="C759" t="str">
            <v>AFBL(Marketing)-7392</v>
          </cell>
          <cell r="D759" t="str">
            <v>Md. Rafiqul Islam</v>
          </cell>
          <cell r="E759">
            <v>527112</v>
          </cell>
          <cell r="F759" t="str">
            <v>Sales &amp; Marketing</v>
          </cell>
          <cell r="G759" t="str">
            <v>Territory Sales Manager</v>
          </cell>
        </row>
        <row r="760">
          <cell r="B760">
            <v>527120</v>
          </cell>
          <cell r="C760" t="str">
            <v>AFBL(Marketing)-7415</v>
          </cell>
          <cell r="D760" t="str">
            <v>Md. Mahamudul Hasan</v>
          </cell>
          <cell r="E760">
            <v>527120</v>
          </cell>
          <cell r="F760" t="str">
            <v>Sales &amp; Marketing</v>
          </cell>
          <cell r="G760" t="str">
            <v>Senior Territory Sales Manager</v>
          </cell>
        </row>
        <row r="761">
          <cell r="B761">
            <v>527155</v>
          </cell>
          <cell r="C761" t="str">
            <v>FR3951</v>
          </cell>
          <cell r="D761" t="str">
            <v xml:space="preserve">Md.Motiour Rahman </v>
          </cell>
          <cell r="E761">
            <v>527155</v>
          </cell>
          <cell r="F761" t="str">
            <v>Quality Control</v>
          </cell>
          <cell r="G761" t="str">
            <v>Junior Executive</v>
          </cell>
        </row>
        <row r="762">
          <cell r="B762">
            <v>527159</v>
          </cell>
          <cell r="C762" t="str">
            <v>FR3955</v>
          </cell>
          <cell r="D762" t="str">
            <v>Md.Noyaz Redoynaul Haque Basunia</v>
          </cell>
          <cell r="E762">
            <v>527159</v>
          </cell>
          <cell r="F762" t="str">
            <v>CSD</v>
          </cell>
          <cell r="G762" t="str">
            <v>Executive</v>
          </cell>
        </row>
        <row r="763">
          <cell r="B763">
            <v>527265</v>
          </cell>
          <cell r="C763" t="str">
            <v>FR3968</v>
          </cell>
          <cell r="D763" t="str">
            <v>Ashik Chandra Das</v>
          </cell>
          <cell r="E763">
            <v>527265</v>
          </cell>
          <cell r="F763" t="str">
            <v xml:space="preserve">Power </v>
          </cell>
          <cell r="G763" t="str">
            <v>Engineer</v>
          </cell>
        </row>
        <row r="764">
          <cell r="B764">
            <v>527304</v>
          </cell>
          <cell r="C764" t="str">
            <v>AFBL(Marketing)-7511</v>
          </cell>
          <cell r="D764" t="str">
            <v>Md. Razu Hossain</v>
          </cell>
          <cell r="E764">
            <v>527304</v>
          </cell>
          <cell r="F764" t="str">
            <v>Sales &amp; Marketing</v>
          </cell>
          <cell r="G764" t="str">
            <v>Territory Sales Manager</v>
          </cell>
        </row>
        <row r="765">
          <cell r="B765">
            <v>527437</v>
          </cell>
          <cell r="C765" t="str">
            <v>AFBL-R3058</v>
          </cell>
          <cell r="D765" t="str">
            <v>Md. Rashedul Islam</v>
          </cell>
          <cell r="E765">
            <v>527437</v>
          </cell>
          <cell r="F765" t="str">
            <v>Market Audit &amp; Business Intelligence</v>
          </cell>
          <cell r="G765" t="str">
            <v>Executive</v>
          </cell>
        </row>
        <row r="766">
          <cell r="B766">
            <v>527472</v>
          </cell>
          <cell r="C766" t="str">
            <v>FR4004</v>
          </cell>
          <cell r="D766" t="str">
            <v>Md. Hasan Mia</v>
          </cell>
          <cell r="E766">
            <v>527472</v>
          </cell>
          <cell r="F766" t="str">
            <v>Accounts And Finance</v>
          </cell>
          <cell r="G766" t="str">
            <v>Executive</v>
          </cell>
        </row>
        <row r="767">
          <cell r="B767">
            <v>527475</v>
          </cell>
          <cell r="C767" t="str">
            <v>FR4007</v>
          </cell>
          <cell r="D767" t="str">
            <v>Md. Tofael</v>
          </cell>
          <cell r="E767">
            <v>527475</v>
          </cell>
          <cell r="F767" t="str">
            <v>Quality Control</v>
          </cell>
          <cell r="G767" t="str">
            <v>Junior Executive</v>
          </cell>
        </row>
        <row r="768">
          <cell r="B768">
            <v>527500</v>
          </cell>
          <cell r="C768" t="str">
            <v>AFBL-R3059</v>
          </cell>
          <cell r="D768" t="str">
            <v>Tamjid Ahmed Anik</v>
          </cell>
          <cell r="E768">
            <v>527500</v>
          </cell>
          <cell r="F768" t="str">
            <v>Internal Audit &amp; Compliance</v>
          </cell>
          <cell r="G768" t="str">
            <v>Senior Executive</v>
          </cell>
        </row>
        <row r="769">
          <cell r="B769">
            <v>527551</v>
          </cell>
          <cell r="C769" t="str">
            <v>FR4014</v>
          </cell>
          <cell r="D769" t="str">
            <v>Nazmul Hasan</v>
          </cell>
          <cell r="E769">
            <v>527551</v>
          </cell>
          <cell r="F769" t="str">
            <v>Quality Control</v>
          </cell>
          <cell r="G769" t="str">
            <v>Junior Executive</v>
          </cell>
        </row>
        <row r="770">
          <cell r="B770">
            <v>527562</v>
          </cell>
          <cell r="C770" t="str">
            <v>FR4017</v>
          </cell>
          <cell r="D770" t="str">
            <v>Md. Moktadir Hossain</v>
          </cell>
          <cell r="E770">
            <v>527562</v>
          </cell>
          <cell r="F770" t="str">
            <v>Store</v>
          </cell>
          <cell r="G770" t="str">
            <v>Junior Executive</v>
          </cell>
        </row>
        <row r="771">
          <cell r="B771">
            <v>527579</v>
          </cell>
          <cell r="C771" t="str">
            <v>AFBL(Marketing)-7627</v>
          </cell>
          <cell r="D771" t="str">
            <v>Aman Ullah</v>
          </cell>
          <cell r="E771">
            <v>527579</v>
          </cell>
          <cell r="F771" t="str">
            <v>Sales &amp; Marketing</v>
          </cell>
          <cell r="G771" t="str">
            <v>Territory Sales Manager</v>
          </cell>
        </row>
        <row r="772">
          <cell r="B772">
            <v>527580</v>
          </cell>
          <cell r="C772" t="str">
            <v>AFBL(Marketing)-7628</v>
          </cell>
          <cell r="D772" t="str">
            <v>Rased Ahmed</v>
          </cell>
          <cell r="E772">
            <v>527580</v>
          </cell>
          <cell r="F772" t="str">
            <v>Sales &amp; Marketing</v>
          </cell>
          <cell r="G772" t="str">
            <v>Territory Sales Manager</v>
          </cell>
        </row>
        <row r="773">
          <cell r="B773">
            <v>527582</v>
          </cell>
          <cell r="C773" t="str">
            <v>AFBL(Marketing)-7630</v>
          </cell>
          <cell r="D773" t="str">
            <v>Md. Hasinur Rahman</v>
          </cell>
          <cell r="E773">
            <v>527582</v>
          </cell>
          <cell r="F773" t="str">
            <v>Sales &amp; Marketing</v>
          </cell>
          <cell r="G773" t="str">
            <v>Territory Sales Manager</v>
          </cell>
        </row>
        <row r="774">
          <cell r="B774">
            <v>527623</v>
          </cell>
          <cell r="C774" t="str">
            <v>AFBL(Marketing)-7635</v>
          </cell>
          <cell r="D774" t="str">
            <v>Md. Alamin Howlader</v>
          </cell>
          <cell r="E774">
            <v>527623</v>
          </cell>
          <cell r="F774" t="str">
            <v>Sales &amp; Marketing</v>
          </cell>
          <cell r="G774" t="str">
            <v>Territory Sales Manager</v>
          </cell>
        </row>
        <row r="775">
          <cell r="B775">
            <v>527629</v>
          </cell>
          <cell r="C775" t="str">
            <v>FR4032</v>
          </cell>
          <cell r="D775" t="str">
            <v>Sarmin Sultana Sammo</v>
          </cell>
          <cell r="E775">
            <v>527629</v>
          </cell>
          <cell r="F775" t="str">
            <v>HR</v>
          </cell>
          <cell r="G775" t="str">
            <v>Junior Executive</v>
          </cell>
        </row>
        <row r="776">
          <cell r="B776">
            <v>527706</v>
          </cell>
          <cell r="C776" t="str">
            <v>FR4039</v>
          </cell>
          <cell r="D776" t="str">
            <v>Abdur Rahim</v>
          </cell>
          <cell r="E776">
            <v>527706</v>
          </cell>
          <cell r="F776" t="str">
            <v>Quality Control</v>
          </cell>
          <cell r="G776" t="str">
            <v>Executive</v>
          </cell>
        </row>
        <row r="777">
          <cell r="B777">
            <v>527711</v>
          </cell>
          <cell r="C777" t="str">
            <v>AFBL(Marketing)-7675</v>
          </cell>
          <cell r="D777" t="str">
            <v>Asadur Rhaman</v>
          </cell>
          <cell r="E777">
            <v>527711</v>
          </cell>
          <cell r="F777" t="str">
            <v>Sales &amp; Marketing</v>
          </cell>
          <cell r="G777" t="str">
            <v>Territory Sales Manager</v>
          </cell>
        </row>
        <row r="778">
          <cell r="B778">
            <v>527719</v>
          </cell>
          <cell r="C778" t="str">
            <v>AFBL(Marketing)-7683</v>
          </cell>
          <cell r="D778" t="str">
            <v>Md. Shahinur Islam</v>
          </cell>
          <cell r="E778">
            <v>527719</v>
          </cell>
          <cell r="F778" t="str">
            <v>Sales &amp; Marketing</v>
          </cell>
          <cell r="G778" t="str">
            <v>Territory Sales Manager</v>
          </cell>
        </row>
        <row r="779">
          <cell r="B779">
            <v>527721</v>
          </cell>
          <cell r="C779" t="str">
            <v>AFBL(Marketing)-7685</v>
          </cell>
          <cell r="D779" t="str">
            <v>M. Soukatul Islam</v>
          </cell>
          <cell r="E779">
            <v>527721</v>
          </cell>
          <cell r="F779" t="str">
            <v>Sales &amp; Marketing</v>
          </cell>
          <cell r="G779" t="str">
            <v>Territory Sales Manager</v>
          </cell>
        </row>
        <row r="780">
          <cell r="B780">
            <v>527724</v>
          </cell>
          <cell r="C780" t="str">
            <v>AFBL(Marketing)-7688</v>
          </cell>
          <cell r="D780" t="str">
            <v>Md. Baized Hossain</v>
          </cell>
          <cell r="E780">
            <v>527724</v>
          </cell>
          <cell r="F780" t="str">
            <v>Sales &amp; Marketing</v>
          </cell>
          <cell r="G780" t="str">
            <v>Territory Sales Manager</v>
          </cell>
        </row>
        <row r="781">
          <cell r="B781">
            <v>527727</v>
          </cell>
          <cell r="C781" t="str">
            <v>AFBL(Marketing)-7691</v>
          </cell>
          <cell r="D781" t="str">
            <v>Md. Aminul Islam</v>
          </cell>
          <cell r="E781">
            <v>527727</v>
          </cell>
          <cell r="F781" t="str">
            <v>Sales &amp; Marketing</v>
          </cell>
          <cell r="G781" t="str">
            <v>Territory Sales Manager</v>
          </cell>
        </row>
        <row r="782">
          <cell r="B782">
            <v>527728</v>
          </cell>
          <cell r="C782" t="str">
            <v>AFBL(Marketing)-7692</v>
          </cell>
          <cell r="D782" t="str">
            <v>Md. Omar Faruk</v>
          </cell>
          <cell r="E782">
            <v>527728</v>
          </cell>
          <cell r="F782" t="str">
            <v>Sales &amp; Marketing</v>
          </cell>
          <cell r="G782" t="str">
            <v>Territory Sales Manager</v>
          </cell>
        </row>
        <row r="783">
          <cell r="B783">
            <v>527739</v>
          </cell>
          <cell r="C783" t="str">
            <v>AGRO-677</v>
          </cell>
          <cell r="D783" t="str">
            <v>Md. Meshkat Ali</v>
          </cell>
          <cell r="E783">
            <v>527739</v>
          </cell>
          <cell r="F783" t="str">
            <v>Quality Control</v>
          </cell>
          <cell r="G783" t="str">
            <v>Executive</v>
          </cell>
        </row>
        <row r="784">
          <cell r="B784">
            <v>529000</v>
          </cell>
          <cell r="C784" t="str">
            <v>FR4073</v>
          </cell>
          <cell r="D784" t="str">
            <v>Rony Kundu</v>
          </cell>
          <cell r="E784">
            <v>529000</v>
          </cell>
          <cell r="F784" t="str">
            <v>Accounts And Finance</v>
          </cell>
          <cell r="G784" t="str">
            <v>Executive</v>
          </cell>
        </row>
        <row r="785">
          <cell r="B785">
            <v>529018</v>
          </cell>
          <cell r="C785" t="str">
            <v>FR4074</v>
          </cell>
          <cell r="D785" t="str">
            <v>Md. Sohel</v>
          </cell>
          <cell r="E785">
            <v>529018</v>
          </cell>
          <cell r="F785" t="str">
            <v>Snacks</v>
          </cell>
          <cell r="G785" t="str">
            <v>Executive</v>
          </cell>
        </row>
        <row r="786">
          <cell r="B786">
            <v>529019</v>
          </cell>
          <cell r="C786" t="str">
            <v>FR4075</v>
          </cell>
          <cell r="D786" t="str">
            <v>Md. Milon Haque</v>
          </cell>
          <cell r="E786">
            <v>529019</v>
          </cell>
          <cell r="F786" t="str">
            <v>Quality Control</v>
          </cell>
          <cell r="G786" t="str">
            <v>Junior Executive</v>
          </cell>
        </row>
        <row r="787">
          <cell r="B787">
            <v>529023</v>
          </cell>
          <cell r="C787" t="str">
            <v>FR4077</v>
          </cell>
          <cell r="D787" t="str">
            <v>Nazmul Huda</v>
          </cell>
          <cell r="E787">
            <v>529023</v>
          </cell>
          <cell r="F787" t="str">
            <v>Quality Control</v>
          </cell>
          <cell r="G787" t="str">
            <v>Executive</v>
          </cell>
        </row>
        <row r="788">
          <cell r="B788">
            <v>529112</v>
          </cell>
          <cell r="C788" t="str">
            <v>AGRO-692</v>
          </cell>
          <cell r="D788" t="str">
            <v>Ruhul Amin</v>
          </cell>
          <cell r="E788">
            <v>529112</v>
          </cell>
          <cell r="F788" t="str">
            <v>Production</v>
          </cell>
          <cell r="G788" t="str">
            <v>Executive</v>
          </cell>
        </row>
        <row r="789">
          <cell r="B789">
            <v>529117</v>
          </cell>
          <cell r="C789" t="str">
            <v>FR4091</v>
          </cell>
          <cell r="D789" t="str">
            <v>Md. Azizul Haque</v>
          </cell>
          <cell r="E789">
            <v>529117</v>
          </cell>
          <cell r="F789" t="str">
            <v>Drinking Water Plant</v>
          </cell>
          <cell r="G789" t="str">
            <v>Executive</v>
          </cell>
        </row>
        <row r="790">
          <cell r="B790">
            <v>529189</v>
          </cell>
          <cell r="C790" t="str">
            <v>AFBL(Marketing)-7792</v>
          </cell>
          <cell r="D790" t="str">
            <v>Md. Anwar Hossen</v>
          </cell>
          <cell r="E790">
            <v>529189</v>
          </cell>
          <cell r="F790" t="str">
            <v>Sales &amp; Marketing</v>
          </cell>
          <cell r="G790" t="str">
            <v>Area Sales Manager</v>
          </cell>
        </row>
        <row r="791">
          <cell r="B791">
            <v>529231</v>
          </cell>
          <cell r="C791" t="str">
            <v>FR4108</v>
          </cell>
          <cell r="D791" t="str">
            <v>Mahdi Hasan Limon</v>
          </cell>
          <cell r="E791">
            <v>529231</v>
          </cell>
          <cell r="F791" t="str">
            <v>Aseptic Juice</v>
          </cell>
          <cell r="G791" t="str">
            <v>Executive</v>
          </cell>
        </row>
        <row r="792">
          <cell r="B792">
            <v>529282</v>
          </cell>
          <cell r="C792" t="str">
            <v>FR4111</v>
          </cell>
          <cell r="D792" t="str">
            <v>Nazrul Islam</v>
          </cell>
          <cell r="E792">
            <v>529282</v>
          </cell>
          <cell r="F792" t="str">
            <v>Electrical</v>
          </cell>
          <cell r="G792" t="str">
            <v>Engineer</v>
          </cell>
        </row>
        <row r="793">
          <cell r="B793">
            <v>529283</v>
          </cell>
          <cell r="C793" t="str">
            <v>FR4112</v>
          </cell>
          <cell r="D793" t="str">
            <v>Nur Islam</v>
          </cell>
          <cell r="E793">
            <v>529283</v>
          </cell>
          <cell r="F793" t="str">
            <v>Quality Control</v>
          </cell>
          <cell r="G793" t="str">
            <v>Junior Executive</v>
          </cell>
        </row>
        <row r="794">
          <cell r="B794">
            <v>529346</v>
          </cell>
          <cell r="C794" t="str">
            <v>AVL-R61</v>
          </cell>
          <cell r="D794" t="str">
            <v>Foyez Alam</v>
          </cell>
          <cell r="E794">
            <v>529346</v>
          </cell>
          <cell r="F794" t="str">
            <v>Juice &amp; Drinks</v>
          </cell>
          <cell r="G794" t="str">
            <v>Assistant Manager</v>
          </cell>
        </row>
        <row r="795">
          <cell r="B795">
            <v>529347</v>
          </cell>
          <cell r="C795" t="str">
            <v>AVL-R62</v>
          </cell>
          <cell r="D795" t="str">
            <v>Ahsan Kibria</v>
          </cell>
          <cell r="E795">
            <v>529347</v>
          </cell>
          <cell r="F795" t="str">
            <v>RTM</v>
          </cell>
          <cell r="G795" t="str">
            <v>Deputy Manager</v>
          </cell>
        </row>
        <row r="796">
          <cell r="B796">
            <v>529348</v>
          </cell>
          <cell r="C796" t="str">
            <v>AVL-R63</v>
          </cell>
          <cell r="D796" t="str">
            <v>Maisha Mahin Shashi</v>
          </cell>
          <cell r="E796">
            <v>529348</v>
          </cell>
          <cell r="F796" t="str">
            <v>New Project &amp; Development</v>
          </cell>
          <cell r="G796" t="str">
            <v>Deputy Manager</v>
          </cell>
        </row>
        <row r="797">
          <cell r="B797">
            <v>529353</v>
          </cell>
          <cell r="C797" t="str">
            <v>AVL-R68</v>
          </cell>
          <cell r="D797" t="str">
            <v>Mahin Imtiyaz</v>
          </cell>
          <cell r="E797">
            <v>529353</v>
          </cell>
          <cell r="F797" t="str">
            <v>Supply Chain</v>
          </cell>
          <cell r="G797" t="str">
            <v>Deputy Manager</v>
          </cell>
        </row>
        <row r="798">
          <cell r="B798">
            <v>529425</v>
          </cell>
          <cell r="C798" t="str">
            <v>FR4137</v>
          </cell>
          <cell r="D798" t="str">
            <v>Tanveer Rahman</v>
          </cell>
          <cell r="E798">
            <v>529425</v>
          </cell>
          <cell r="F798" t="str">
            <v>Store</v>
          </cell>
          <cell r="G798" t="str">
            <v>Junior Executive</v>
          </cell>
        </row>
        <row r="799">
          <cell r="B799">
            <v>529496</v>
          </cell>
          <cell r="C799" t="str">
            <v>FR4140</v>
          </cell>
          <cell r="D799" t="str">
            <v xml:space="preserve">Tulesh Roy </v>
          </cell>
          <cell r="E799">
            <v>529496</v>
          </cell>
          <cell r="F799" t="str">
            <v>Aseptic Juice</v>
          </cell>
          <cell r="G799" t="str">
            <v>Executive</v>
          </cell>
        </row>
        <row r="800">
          <cell r="B800">
            <v>529508</v>
          </cell>
          <cell r="C800" t="str">
            <v>FR4144</v>
          </cell>
          <cell r="D800" t="str">
            <v>Hera Khatun</v>
          </cell>
          <cell r="E800">
            <v>529508</v>
          </cell>
          <cell r="F800" t="str">
            <v>Functional Food and Beverage RnD</v>
          </cell>
          <cell r="G800" t="str">
            <v>Executive</v>
          </cell>
        </row>
        <row r="801">
          <cell r="B801">
            <v>529515</v>
          </cell>
          <cell r="C801" t="str">
            <v>FR4145</v>
          </cell>
          <cell r="D801" t="str">
            <v>Md. Lotifur Rahaman</v>
          </cell>
          <cell r="E801">
            <v>529515</v>
          </cell>
          <cell r="F801" t="str">
            <v>Quality Control</v>
          </cell>
          <cell r="G801" t="str">
            <v>Executive</v>
          </cell>
        </row>
        <row r="802">
          <cell r="B802">
            <v>529520</v>
          </cell>
          <cell r="C802" t="str">
            <v>AFBL-R3079</v>
          </cell>
          <cell r="D802" t="str">
            <v>Tania Akter</v>
          </cell>
          <cell r="E802">
            <v>529520</v>
          </cell>
          <cell r="F802" t="str">
            <v>Media Management</v>
          </cell>
          <cell r="G802" t="str">
            <v>Senior Executive</v>
          </cell>
        </row>
        <row r="803">
          <cell r="B803">
            <v>529521</v>
          </cell>
          <cell r="C803" t="str">
            <v>AFBL-R3080</v>
          </cell>
          <cell r="D803" t="str">
            <v>Amir Hosen</v>
          </cell>
          <cell r="E803">
            <v>529521</v>
          </cell>
          <cell r="F803" t="str">
            <v>Institutional Sales</v>
          </cell>
          <cell r="G803" t="str">
            <v>Executive</v>
          </cell>
        </row>
        <row r="804">
          <cell r="B804">
            <v>529522</v>
          </cell>
          <cell r="C804" t="str">
            <v>AFBL-R3081</v>
          </cell>
          <cell r="D804" t="str">
            <v>Zillur Rahman</v>
          </cell>
          <cell r="E804">
            <v>529522</v>
          </cell>
          <cell r="F804" t="str">
            <v>Institutional Sales</v>
          </cell>
          <cell r="G804" t="str">
            <v>Junior Executive</v>
          </cell>
        </row>
        <row r="805">
          <cell r="B805">
            <v>529523</v>
          </cell>
          <cell r="C805" t="str">
            <v>AFBL-R3082</v>
          </cell>
          <cell r="D805" t="str">
            <v>Md. Talat Mahmud</v>
          </cell>
          <cell r="E805">
            <v>529523</v>
          </cell>
          <cell r="F805" t="str">
            <v>Institutional Sales</v>
          </cell>
          <cell r="G805" t="str">
            <v>Executive</v>
          </cell>
        </row>
        <row r="806">
          <cell r="B806">
            <v>529552</v>
          </cell>
          <cell r="C806" t="str">
            <v>FR4151</v>
          </cell>
          <cell r="D806" t="str">
            <v>Mohammad Mahabubur Rahman</v>
          </cell>
          <cell r="E806">
            <v>529552</v>
          </cell>
          <cell r="F806" t="str">
            <v>Store</v>
          </cell>
          <cell r="G806" t="str">
            <v>Executive</v>
          </cell>
        </row>
        <row r="807">
          <cell r="B807">
            <v>529606</v>
          </cell>
          <cell r="C807" t="str">
            <v>AFBL-R3086</v>
          </cell>
          <cell r="D807" t="str">
            <v>S.M. Mehedi All Sheraji (Shiblu)</v>
          </cell>
          <cell r="E807">
            <v>529606</v>
          </cell>
          <cell r="F807" t="str">
            <v>Brand</v>
          </cell>
          <cell r="G807" t="str">
            <v>Senior Manager</v>
          </cell>
        </row>
        <row r="808">
          <cell r="B808">
            <v>529640</v>
          </cell>
          <cell r="C808" t="str">
            <v>FR4159</v>
          </cell>
          <cell r="D808" t="str">
            <v>Md. Atiqur Rahman Joni</v>
          </cell>
          <cell r="E808">
            <v>529640</v>
          </cell>
          <cell r="F808" t="str">
            <v>Sugar</v>
          </cell>
          <cell r="G808" t="str">
            <v>Senior Executive</v>
          </cell>
        </row>
        <row r="809">
          <cell r="B809">
            <v>529651</v>
          </cell>
          <cell r="C809" t="str">
            <v>FR4160</v>
          </cell>
          <cell r="D809" t="str">
            <v>Shahabuddin Ahmed</v>
          </cell>
          <cell r="E809">
            <v>529651</v>
          </cell>
          <cell r="F809" t="str">
            <v>Admin</v>
          </cell>
          <cell r="G809" t="str">
            <v>Senior Executive</v>
          </cell>
        </row>
        <row r="810">
          <cell r="B810">
            <v>529658</v>
          </cell>
          <cell r="C810" t="str">
            <v>AFBL-R3091</v>
          </cell>
          <cell r="D810" t="str">
            <v>Md. Neamatullah</v>
          </cell>
          <cell r="E810">
            <v>529658</v>
          </cell>
          <cell r="F810" t="str">
            <v xml:space="preserve">Cooler Management </v>
          </cell>
          <cell r="G810" t="str">
            <v>Junior Executive</v>
          </cell>
        </row>
        <row r="811">
          <cell r="B811">
            <v>529730</v>
          </cell>
          <cell r="C811" t="str">
            <v>FR4163</v>
          </cell>
          <cell r="D811" t="str">
            <v>Md. Mydul Islam</v>
          </cell>
          <cell r="E811">
            <v>529730</v>
          </cell>
          <cell r="F811" t="str">
            <v>Quality Control</v>
          </cell>
          <cell r="G811" t="str">
            <v>Senior Executive</v>
          </cell>
        </row>
        <row r="812">
          <cell r="B812">
            <v>529731</v>
          </cell>
          <cell r="C812" t="str">
            <v>FR4164</v>
          </cell>
          <cell r="D812" t="str">
            <v>Mozammal Ahamed</v>
          </cell>
          <cell r="E812">
            <v>529731</v>
          </cell>
          <cell r="F812" t="str">
            <v>Quality Control</v>
          </cell>
          <cell r="G812" t="str">
            <v>Executive</v>
          </cell>
        </row>
        <row r="813">
          <cell r="B813">
            <v>529733</v>
          </cell>
          <cell r="C813" t="str">
            <v>FR4166</v>
          </cell>
          <cell r="D813" t="str">
            <v>Md. Shakil Buiyan</v>
          </cell>
          <cell r="E813">
            <v>529733</v>
          </cell>
          <cell r="F813" t="str">
            <v>Snacks</v>
          </cell>
          <cell r="G813" t="str">
            <v>Executive</v>
          </cell>
        </row>
        <row r="814">
          <cell r="B814">
            <v>529734</v>
          </cell>
          <cell r="C814" t="str">
            <v>FR4167</v>
          </cell>
          <cell r="D814" t="str">
            <v>Md. Sohel Rana</v>
          </cell>
          <cell r="E814">
            <v>529734</v>
          </cell>
          <cell r="F814" t="str">
            <v>Quality Control</v>
          </cell>
          <cell r="G814" t="str">
            <v>Executive</v>
          </cell>
        </row>
        <row r="815">
          <cell r="B815">
            <v>529756</v>
          </cell>
          <cell r="C815" t="str">
            <v>AFBL-R3096</v>
          </cell>
          <cell r="D815" t="str">
            <v>Shuvo Mukherjee</v>
          </cell>
          <cell r="E815">
            <v>529756</v>
          </cell>
          <cell r="F815" t="str">
            <v>Civil</v>
          </cell>
          <cell r="G815" t="str">
            <v>Executive</v>
          </cell>
        </row>
        <row r="816">
          <cell r="B816">
            <v>529760</v>
          </cell>
          <cell r="C816" t="str">
            <v>FR4185</v>
          </cell>
          <cell r="D816" t="str">
            <v>Zahidul Islam</v>
          </cell>
          <cell r="E816">
            <v>529760</v>
          </cell>
          <cell r="F816" t="str">
            <v>Quality Control</v>
          </cell>
          <cell r="G816" t="str">
            <v>Junior Executive</v>
          </cell>
        </row>
        <row r="817">
          <cell r="B817">
            <v>529816</v>
          </cell>
          <cell r="C817" t="str">
            <v>FR4198</v>
          </cell>
          <cell r="D817" t="str">
            <v>Md. Ariful Islam</v>
          </cell>
          <cell r="E817">
            <v>529816</v>
          </cell>
          <cell r="F817" t="str">
            <v>Sugar</v>
          </cell>
          <cell r="G817" t="str">
            <v>Executive</v>
          </cell>
        </row>
        <row r="818">
          <cell r="B818">
            <v>529817</v>
          </cell>
          <cell r="C818" t="str">
            <v>FR4199</v>
          </cell>
          <cell r="D818" t="str">
            <v>Md. Abedul Islam</v>
          </cell>
          <cell r="E818">
            <v>529817</v>
          </cell>
          <cell r="F818" t="str">
            <v>Quality Control</v>
          </cell>
          <cell r="G818" t="str">
            <v>Executive</v>
          </cell>
        </row>
        <row r="819">
          <cell r="B819">
            <v>529818</v>
          </cell>
          <cell r="C819" t="str">
            <v>FR4200</v>
          </cell>
          <cell r="D819" t="str">
            <v>Asraful Alam</v>
          </cell>
          <cell r="E819">
            <v>529818</v>
          </cell>
          <cell r="F819" t="str">
            <v>Quality Control</v>
          </cell>
          <cell r="G819" t="str">
            <v>Executive</v>
          </cell>
        </row>
        <row r="820">
          <cell r="B820">
            <v>529819</v>
          </cell>
          <cell r="C820" t="str">
            <v>FR4201</v>
          </cell>
          <cell r="D820" t="str">
            <v>Md. Shah Alom Shoun</v>
          </cell>
          <cell r="E820">
            <v>529819</v>
          </cell>
          <cell r="F820" t="str">
            <v>Sugar</v>
          </cell>
          <cell r="G820" t="str">
            <v>Executive</v>
          </cell>
        </row>
        <row r="821">
          <cell r="B821">
            <v>529820</v>
          </cell>
          <cell r="C821" t="str">
            <v>FR4202</v>
          </cell>
          <cell r="D821" t="str">
            <v>Md. Zakaria Kabir</v>
          </cell>
          <cell r="E821">
            <v>529820</v>
          </cell>
          <cell r="F821" t="str">
            <v>Quality Control</v>
          </cell>
          <cell r="G821" t="str">
            <v>Executive</v>
          </cell>
        </row>
        <row r="822">
          <cell r="B822">
            <v>529849</v>
          </cell>
          <cell r="C822" t="str">
            <v>FR4215</v>
          </cell>
          <cell r="D822" t="str">
            <v>Md. Abdur Rahman</v>
          </cell>
          <cell r="E822">
            <v>529849</v>
          </cell>
          <cell r="F822" t="str">
            <v>HR</v>
          </cell>
          <cell r="G822" t="str">
            <v>Senior Executive</v>
          </cell>
        </row>
        <row r="823">
          <cell r="B823">
            <v>529851</v>
          </cell>
          <cell r="C823" t="str">
            <v>FR4217</v>
          </cell>
          <cell r="D823" t="str">
            <v>Md. Rafiqul Islam</v>
          </cell>
          <cell r="E823">
            <v>529851</v>
          </cell>
          <cell r="F823" t="str">
            <v>Quality Control</v>
          </cell>
          <cell r="G823" t="str">
            <v>Assistant Manager</v>
          </cell>
        </row>
        <row r="824">
          <cell r="B824">
            <v>529852</v>
          </cell>
          <cell r="C824" t="str">
            <v>FR4218</v>
          </cell>
          <cell r="D824" t="str">
            <v>Md. Habibur Rahaman Khan</v>
          </cell>
          <cell r="E824">
            <v>529852</v>
          </cell>
          <cell r="F824" t="str">
            <v>Aseptic Juice</v>
          </cell>
          <cell r="G824" t="str">
            <v>Executive</v>
          </cell>
        </row>
        <row r="825">
          <cell r="B825">
            <v>529890</v>
          </cell>
          <cell r="C825" t="str">
            <v>AVL-82</v>
          </cell>
          <cell r="D825" t="str">
            <v>Abidur Rahman Talukder</v>
          </cell>
          <cell r="E825">
            <v>529890</v>
          </cell>
          <cell r="F825" t="str">
            <v>Supply Chain</v>
          </cell>
          <cell r="G825" t="str">
            <v>Senior Executive</v>
          </cell>
        </row>
        <row r="826">
          <cell r="B826">
            <v>529891</v>
          </cell>
          <cell r="C826" t="str">
            <v>AFBL-R3103</v>
          </cell>
          <cell r="D826" t="str">
            <v>Md. Rubel Miah</v>
          </cell>
          <cell r="E826">
            <v>529891</v>
          </cell>
          <cell r="F826" t="str">
            <v>Supply Chain</v>
          </cell>
          <cell r="G826" t="str">
            <v>Senior Executive</v>
          </cell>
        </row>
        <row r="827">
          <cell r="B827">
            <v>529892</v>
          </cell>
          <cell r="C827" t="str">
            <v>AFBL-R3104</v>
          </cell>
          <cell r="D827" t="str">
            <v>Abdullah Al Mamun</v>
          </cell>
          <cell r="E827">
            <v>529892</v>
          </cell>
          <cell r="F827" t="str">
            <v>Commercial</v>
          </cell>
          <cell r="G827" t="str">
            <v>Senior Executive</v>
          </cell>
        </row>
        <row r="828">
          <cell r="B828">
            <v>529893</v>
          </cell>
          <cell r="C828" t="str">
            <v>AFBL-R3105</v>
          </cell>
          <cell r="D828" t="str">
            <v>Md. Shadekur Rahman Mullick</v>
          </cell>
          <cell r="E828">
            <v>529893</v>
          </cell>
          <cell r="F828" t="str">
            <v>Supply Chain</v>
          </cell>
          <cell r="G828" t="str">
            <v>Assistant Manager</v>
          </cell>
        </row>
        <row r="829">
          <cell r="B829">
            <v>529971</v>
          </cell>
          <cell r="C829" t="str">
            <v>FR4229</v>
          </cell>
          <cell r="D829" t="str">
            <v>Md. Rafeul Alam</v>
          </cell>
          <cell r="E829">
            <v>529971</v>
          </cell>
          <cell r="F829" t="str">
            <v>Store</v>
          </cell>
          <cell r="G829" t="str">
            <v>Junior Executive</v>
          </cell>
        </row>
        <row r="830">
          <cell r="B830">
            <v>529975</v>
          </cell>
          <cell r="C830" t="str">
            <v>AFBL(Marketing)-8051</v>
          </cell>
          <cell r="D830" t="str">
            <v>Md. Rakibul Islam</v>
          </cell>
          <cell r="E830">
            <v>529975</v>
          </cell>
          <cell r="F830" t="str">
            <v>Sales &amp; Marketing</v>
          </cell>
          <cell r="G830" t="str">
            <v>Territory Sales Manager</v>
          </cell>
        </row>
        <row r="831">
          <cell r="B831">
            <v>529976</v>
          </cell>
          <cell r="C831" t="str">
            <v>AFBL(Marketing)-8052</v>
          </cell>
          <cell r="D831" t="str">
            <v>Md. Ballal Hossen</v>
          </cell>
          <cell r="E831">
            <v>529976</v>
          </cell>
          <cell r="F831" t="str">
            <v>Sales &amp; Marketing</v>
          </cell>
          <cell r="G831" t="str">
            <v>Territory Sales Manager</v>
          </cell>
        </row>
        <row r="832">
          <cell r="B832">
            <v>530005</v>
          </cell>
          <cell r="C832" t="str">
            <v>FR4240</v>
          </cell>
          <cell r="D832" t="str">
            <v>Al-Amin Islam</v>
          </cell>
          <cell r="E832">
            <v>530005</v>
          </cell>
          <cell r="F832" t="str">
            <v>Quality Control</v>
          </cell>
          <cell r="G832" t="str">
            <v>Junior Executive</v>
          </cell>
        </row>
        <row r="833">
          <cell r="B833">
            <v>530031</v>
          </cell>
          <cell r="C833" t="str">
            <v>AFBL-R3109</v>
          </cell>
          <cell r="D833" t="str">
            <v>Md. Helal Uddin</v>
          </cell>
          <cell r="E833">
            <v>530031</v>
          </cell>
          <cell r="F833" t="str">
            <v>Market Audit &amp; Business Intelligence</v>
          </cell>
          <cell r="G833" t="str">
            <v>Executive</v>
          </cell>
        </row>
        <row r="834">
          <cell r="B834">
            <v>530281</v>
          </cell>
          <cell r="C834" t="str">
            <v>FR4258</v>
          </cell>
          <cell r="D834" t="str">
            <v>Md. Forkan Mia</v>
          </cell>
          <cell r="E834">
            <v>530281</v>
          </cell>
          <cell r="F834" t="str">
            <v>CSD</v>
          </cell>
          <cell r="G834" t="str">
            <v>Executive</v>
          </cell>
        </row>
        <row r="835">
          <cell r="B835">
            <v>530301</v>
          </cell>
          <cell r="C835" t="str">
            <v>FR4260</v>
          </cell>
          <cell r="D835" t="str">
            <v>Md. Shah Alam</v>
          </cell>
          <cell r="E835">
            <v>530301</v>
          </cell>
          <cell r="F835" t="str">
            <v>PPS</v>
          </cell>
          <cell r="G835" t="str">
            <v>Senior Engineer</v>
          </cell>
        </row>
        <row r="836">
          <cell r="B836">
            <v>530317</v>
          </cell>
          <cell r="C836" t="str">
            <v>AFBL(Marketing)-8127</v>
          </cell>
          <cell r="D836" t="str">
            <v>Md. Tarequl Islam</v>
          </cell>
          <cell r="E836">
            <v>530317</v>
          </cell>
          <cell r="F836" t="str">
            <v>Sales &amp; Marketing</v>
          </cell>
          <cell r="G836" t="str">
            <v>Territory Sales Manager</v>
          </cell>
        </row>
        <row r="837">
          <cell r="B837">
            <v>530463</v>
          </cell>
          <cell r="C837" t="str">
            <v>FR4269</v>
          </cell>
          <cell r="D837" t="str">
            <v>Md. Amjad Hoswn</v>
          </cell>
          <cell r="E837">
            <v>530463</v>
          </cell>
          <cell r="F837" t="str">
            <v>Store</v>
          </cell>
          <cell r="G837" t="str">
            <v>Executive</v>
          </cell>
        </row>
        <row r="838">
          <cell r="B838">
            <v>530517</v>
          </cell>
          <cell r="C838" t="str">
            <v>AFBL-R3116</v>
          </cell>
          <cell r="D838" t="str">
            <v>Md. Shajalal Miah</v>
          </cell>
          <cell r="E838">
            <v>530517</v>
          </cell>
          <cell r="F838" t="str">
            <v>Resource Management &amp; Development</v>
          </cell>
          <cell r="G838" t="str">
            <v>Junior Executive</v>
          </cell>
        </row>
        <row r="839">
          <cell r="B839">
            <v>530518</v>
          </cell>
          <cell r="C839" t="str">
            <v>AFBL-R3117</v>
          </cell>
          <cell r="D839" t="str">
            <v>Md. Wahid Hossain</v>
          </cell>
          <cell r="E839">
            <v>530518</v>
          </cell>
          <cell r="F839" t="str">
            <v>Resource Management &amp; Development</v>
          </cell>
          <cell r="G839" t="str">
            <v>Junior Executive</v>
          </cell>
        </row>
        <row r="840">
          <cell r="B840">
            <v>530519</v>
          </cell>
          <cell r="C840" t="str">
            <v>AFBL-R3118</v>
          </cell>
          <cell r="D840" t="str">
            <v>Feroz Ahamed</v>
          </cell>
          <cell r="E840">
            <v>530519</v>
          </cell>
          <cell r="F840" t="str">
            <v>Resource Management &amp; Development</v>
          </cell>
          <cell r="G840" t="str">
            <v>Junior Executive</v>
          </cell>
        </row>
        <row r="841">
          <cell r="B841">
            <v>530520</v>
          </cell>
          <cell r="C841" t="str">
            <v>AFBL-R3119</v>
          </cell>
          <cell r="D841" t="str">
            <v>Md. Amirul Islam</v>
          </cell>
          <cell r="E841">
            <v>530520</v>
          </cell>
          <cell r="F841" t="str">
            <v>Resource Management &amp; Development</v>
          </cell>
          <cell r="G841" t="str">
            <v>Junior Executive</v>
          </cell>
        </row>
        <row r="842">
          <cell r="B842">
            <v>530522</v>
          </cell>
          <cell r="C842" t="str">
            <v>AFBL-R3121</v>
          </cell>
          <cell r="D842" t="str">
            <v>Md. Mahabubul Islam</v>
          </cell>
          <cell r="E842">
            <v>530522</v>
          </cell>
          <cell r="F842" t="str">
            <v>RTM</v>
          </cell>
          <cell r="G842" t="str">
            <v>Executive</v>
          </cell>
        </row>
        <row r="843">
          <cell r="B843">
            <v>530668</v>
          </cell>
          <cell r="C843" t="str">
            <v>AVL-96</v>
          </cell>
          <cell r="D843" t="str">
            <v>Md. Kaysar Hossen</v>
          </cell>
          <cell r="E843">
            <v>530668</v>
          </cell>
          <cell r="F843" t="str">
            <v>Accounts And Finance</v>
          </cell>
          <cell r="G843" t="str">
            <v>Senior Executive</v>
          </cell>
        </row>
        <row r="844">
          <cell r="B844">
            <v>530711</v>
          </cell>
          <cell r="C844" t="str">
            <v>FR4288</v>
          </cell>
          <cell r="D844" t="str">
            <v>Md. Shakibul Islam</v>
          </cell>
          <cell r="E844">
            <v>530711</v>
          </cell>
          <cell r="F844" t="str">
            <v>CSD</v>
          </cell>
          <cell r="G844" t="str">
            <v>Executive</v>
          </cell>
        </row>
        <row r="845">
          <cell r="B845">
            <v>530716</v>
          </cell>
          <cell r="C845" t="str">
            <v>FR4291</v>
          </cell>
          <cell r="D845" t="str">
            <v>Md. Mostafa Kamal Joy</v>
          </cell>
          <cell r="E845">
            <v>530716</v>
          </cell>
          <cell r="F845" t="str">
            <v>Quality Control</v>
          </cell>
          <cell r="G845" t="str">
            <v>Deputy Manager</v>
          </cell>
        </row>
        <row r="846">
          <cell r="B846">
            <v>530722</v>
          </cell>
          <cell r="C846" t="str">
            <v>AFBL-R3128</v>
          </cell>
          <cell r="D846" t="str">
            <v>Tanzina Trena</v>
          </cell>
          <cell r="E846">
            <v>530722</v>
          </cell>
          <cell r="F846" t="str">
            <v>Internal Audit &amp; Compliance</v>
          </cell>
          <cell r="G846" t="str">
            <v>Executive</v>
          </cell>
        </row>
        <row r="847">
          <cell r="B847">
            <v>530724</v>
          </cell>
          <cell r="C847" t="str">
            <v>AFBL-R3129</v>
          </cell>
          <cell r="D847" t="str">
            <v>Md. Fahim Akand</v>
          </cell>
          <cell r="E847">
            <v>530724</v>
          </cell>
          <cell r="F847" t="str">
            <v xml:space="preserve">Cooler Management </v>
          </cell>
          <cell r="G847" t="str">
            <v>Junior Executive</v>
          </cell>
        </row>
        <row r="848">
          <cell r="B848">
            <v>530796</v>
          </cell>
          <cell r="C848" t="str">
            <v>AFBL-R3131</v>
          </cell>
          <cell r="D848" t="str">
            <v>Zaid Al Mahmudul Hasan</v>
          </cell>
          <cell r="E848">
            <v>530796</v>
          </cell>
          <cell r="F848" t="str">
            <v>Internal Audit &amp; Compliance</v>
          </cell>
          <cell r="G848" t="str">
            <v>General Manager</v>
          </cell>
        </row>
        <row r="849">
          <cell r="B849">
            <v>530809</v>
          </cell>
          <cell r="C849" t="str">
            <v>AFBL(Marketing)-8229</v>
          </cell>
          <cell r="D849" t="str">
            <v>Nahid Hasan</v>
          </cell>
          <cell r="E849">
            <v>530809</v>
          </cell>
          <cell r="F849" t="str">
            <v>Sales &amp; Marketing</v>
          </cell>
          <cell r="G849" t="str">
            <v>Territory Sales Manager</v>
          </cell>
        </row>
        <row r="850">
          <cell r="B850">
            <v>531013</v>
          </cell>
          <cell r="C850" t="str">
            <v>AFBL-R3137</v>
          </cell>
          <cell r="D850" t="str">
            <v>Md. Mehedi Hasan</v>
          </cell>
          <cell r="E850">
            <v>531013</v>
          </cell>
          <cell r="F850" t="str">
            <v xml:space="preserve">Cooler Management </v>
          </cell>
          <cell r="G850" t="str">
            <v>Junior Executive</v>
          </cell>
        </row>
        <row r="851">
          <cell r="B851">
            <v>531067</v>
          </cell>
          <cell r="C851" t="str">
            <v>FR4325</v>
          </cell>
          <cell r="D851" t="str">
            <v>Md. Asaduzzaman</v>
          </cell>
          <cell r="E851">
            <v>531067</v>
          </cell>
          <cell r="F851" t="str">
            <v>Electrical</v>
          </cell>
          <cell r="G851" t="str">
            <v>Assistant Engineer</v>
          </cell>
        </row>
        <row r="852">
          <cell r="B852">
            <v>531070</v>
          </cell>
          <cell r="C852" t="str">
            <v>FR4327</v>
          </cell>
          <cell r="D852" t="str">
            <v>Md. Manirul Islam</v>
          </cell>
          <cell r="E852">
            <v>531070</v>
          </cell>
          <cell r="F852" t="str">
            <v>Sugar</v>
          </cell>
          <cell r="G852" t="str">
            <v>Executive</v>
          </cell>
        </row>
        <row r="853">
          <cell r="B853">
            <v>531186</v>
          </cell>
          <cell r="C853" t="str">
            <v>AGRO-728</v>
          </cell>
          <cell r="D853" t="str">
            <v>Ragib Shariar</v>
          </cell>
          <cell r="E853">
            <v>531186</v>
          </cell>
          <cell r="F853" t="str">
            <v>Mechanical</v>
          </cell>
          <cell r="G853" t="str">
            <v>Engineer</v>
          </cell>
        </row>
        <row r="854">
          <cell r="B854">
            <v>531187</v>
          </cell>
          <cell r="C854" t="str">
            <v>FR4335</v>
          </cell>
          <cell r="D854" t="str">
            <v>Yugal Kishor Biswas</v>
          </cell>
          <cell r="E854">
            <v>531187</v>
          </cell>
          <cell r="F854" t="str">
            <v>Mechanical</v>
          </cell>
          <cell r="G854" t="str">
            <v>Assistant Engineer</v>
          </cell>
        </row>
        <row r="855">
          <cell r="B855">
            <v>531191</v>
          </cell>
          <cell r="C855" t="str">
            <v>FR4339</v>
          </cell>
          <cell r="D855" t="str">
            <v>Md. Iftekharul Hoque Anik</v>
          </cell>
          <cell r="E855">
            <v>531191</v>
          </cell>
          <cell r="F855" t="str">
            <v>Distribution</v>
          </cell>
          <cell r="G855" t="str">
            <v>Junior Executive</v>
          </cell>
        </row>
        <row r="856">
          <cell r="B856">
            <v>531281</v>
          </cell>
          <cell r="C856" t="str">
            <v>FR4346</v>
          </cell>
          <cell r="D856" t="str">
            <v>Md. Rashedul Islam</v>
          </cell>
          <cell r="E856">
            <v>531281</v>
          </cell>
          <cell r="F856" t="str">
            <v>Accounts And Finance</v>
          </cell>
          <cell r="G856" t="str">
            <v>Executive</v>
          </cell>
        </row>
        <row r="857">
          <cell r="B857">
            <v>531333</v>
          </cell>
          <cell r="C857" t="str">
            <v>FR4353</v>
          </cell>
          <cell r="D857" t="str">
            <v>A.N.M. Shakil Rayhan</v>
          </cell>
          <cell r="E857">
            <v>531333</v>
          </cell>
          <cell r="F857" t="str">
            <v>Functional Food and Beverage RnD</v>
          </cell>
          <cell r="G857" t="str">
            <v>Executive</v>
          </cell>
        </row>
        <row r="858">
          <cell r="B858">
            <v>531356</v>
          </cell>
          <cell r="C858" t="str">
            <v>AFBL-R3139</v>
          </cell>
          <cell r="D858" t="str">
            <v>Md. Mizanur Rahman</v>
          </cell>
          <cell r="E858">
            <v>531356</v>
          </cell>
          <cell r="F858" t="str">
            <v>Resource Management &amp; Development</v>
          </cell>
          <cell r="G858" t="str">
            <v>Deputy Manager</v>
          </cell>
        </row>
        <row r="859">
          <cell r="B859">
            <v>531358</v>
          </cell>
          <cell r="C859" t="str">
            <v>AFBL(Marketing)-8348</v>
          </cell>
          <cell r="D859" t="str">
            <v>Sk Abdul Halim</v>
          </cell>
          <cell r="E859">
            <v>531358</v>
          </cell>
          <cell r="F859" t="str">
            <v>Sales &amp; Marketing</v>
          </cell>
          <cell r="G859" t="str">
            <v>Territory Sales Manager</v>
          </cell>
        </row>
        <row r="860">
          <cell r="B860">
            <v>531390</v>
          </cell>
          <cell r="C860" t="str">
            <v>AFBL(Marketing)-8354</v>
          </cell>
          <cell r="D860" t="str">
            <v>Rabiul Islam</v>
          </cell>
          <cell r="E860">
            <v>531390</v>
          </cell>
          <cell r="F860" t="str">
            <v>Sales &amp; Marketing</v>
          </cell>
          <cell r="G860" t="str">
            <v>Territory Sales Manager</v>
          </cell>
        </row>
        <row r="861">
          <cell r="B861">
            <v>531434</v>
          </cell>
          <cell r="C861" t="str">
            <v>AGRO-748</v>
          </cell>
          <cell r="D861" t="str">
            <v>Md.Delowar Hossain</v>
          </cell>
          <cell r="E861">
            <v>531434</v>
          </cell>
          <cell r="F861" t="str">
            <v>Store</v>
          </cell>
          <cell r="G861" t="str">
            <v>Executive</v>
          </cell>
        </row>
        <row r="862">
          <cell r="B862">
            <v>531454</v>
          </cell>
          <cell r="C862" t="str">
            <v>FR4365</v>
          </cell>
          <cell r="D862" t="str">
            <v>Bharat Chandra Barman</v>
          </cell>
          <cell r="E862">
            <v>531454</v>
          </cell>
          <cell r="F862" t="str">
            <v>Snacks</v>
          </cell>
          <cell r="G862" t="str">
            <v>Executive</v>
          </cell>
        </row>
        <row r="863">
          <cell r="B863">
            <v>531455</v>
          </cell>
          <cell r="C863" t="str">
            <v>FR4366</v>
          </cell>
          <cell r="D863" t="str">
            <v>Md. Abu Kalam Azad</v>
          </cell>
          <cell r="E863">
            <v>531455</v>
          </cell>
          <cell r="F863" t="str">
            <v>CSD</v>
          </cell>
          <cell r="G863" t="str">
            <v>Executive</v>
          </cell>
        </row>
        <row r="864">
          <cell r="B864">
            <v>531527</v>
          </cell>
          <cell r="C864" t="str">
            <v>AFBL-R3144</v>
          </cell>
          <cell r="D864" t="str">
            <v>Jahangir Alom</v>
          </cell>
          <cell r="E864">
            <v>531527</v>
          </cell>
          <cell r="F864" t="str">
            <v>Institutional Sales</v>
          </cell>
          <cell r="G864" t="str">
            <v>Assistant Manager</v>
          </cell>
        </row>
        <row r="865">
          <cell r="B865">
            <v>531528</v>
          </cell>
          <cell r="C865" t="str">
            <v>AFBL-R3145</v>
          </cell>
          <cell r="D865" t="str">
            <v>Md. Abdullah</v>
          </cell>
          <cell r="E865">
            <v>531528</v>
          </cell>
          <cell r="F865" t="str">
            <v>Accounts And Finance</v>
          </cell>
          <cell r="G865" t="str">
            <v>Junior Executive</v>
          </cell>
        </row>
        <row r="866">
          <cell r="B866">
            <v>531603</v>
          </cell>
          <cell r="C866" t="str">
            <v>AGRO-752</v>
          </cell>
          <cell r="D866" t="str">
            <v>Abu Rushd Muhammad Ziaur Rabbi</v>
          </cell>
          <cell r="E866">
            <v>531603</v>
          </cell>
          <cell r="F866" t="str">
            <v>Contact Farming</v>
          </cell>
          <cell r="G866" t="str">
            <v>Manager</v>
          </cell>
        </row>
        <row r="867">
          <cell r="B867">
            <v>531628</v>
          </cell>
          <cell r="C867" t="str">
            <v>FR4383</v>
          </cell>
          <cell r="D867" t="str">
            <v>Md. Al Masum</v>
          </cell>
          <cell r="E867">
            <v>531628</v>
          </cell>
          <cell r="F867" t="str">
            <v>Aseptic Juice</v>
          </cell>
          <cell r="G867" t="str">
            <v>Executive</v>
          </cell>
        </row>
        <row r="868">
          <cell r="B868">
            <v>531764</v>
          </cell>
          <cell r="C868" t="str">
            <v>AFBL-R3150</v>
          </cell>
          <cell r="D868" t="str">
            <v>Yaminur Rahman</v>
          </cell>
          <cell r="E868">
            <v>531764</v>
          </cell>
          <cell r="F868" t="str">
            <v>Legal Affairs</v>
          </cell>
          <cell r="G868" t="str">
            <v>Executive</v>
          </cell>
        </row>
        <row r="869">
          <cell r="B869">
            <v>531877</v>
          </cell>
          <cell r="C869" t="str">
            <v>FR4484</v>
          </cell>
          <cell r="D869" t="str">
            <v>Md. Niaz Mahmud</v>
          </cell>
          <cell r="E869">
            <v>531877</v>
          </cell>
          <cell r="F869" t="str">
            <v>Quality Control</v>
          </cell>
          <cell r="G869" t="str">
            <v>Executive</v>
          </cell>
        </row>
        <row r="870">
          <cell r="B870">
            <v>531901</v>
          </cell>
          <cell r="C870" t="str">
            <v>AFBL(Marketing)-8457</v>
          </cell>
          <cell r="D870" t="str">
            <v>Mahmudur Rahman</v>
          </cell>
          <cell r="E870">
            <v>531901</v>
          </cell>
          <cell r="F870" t="str">
            <v>Sales &amp; Marketing</v>
          </cell>
          <cell r="G870" t="str">
            <v>Territory Sales Manager</v>
          </cell>
        </row>
        <row r="871">
          <cell r="B871">
            <v>532010</v>
          </cell>
          <cell r="C871" t="str">
            <v>FR4533</v>
          </cell>
          <cell r="D871" t="str">
            <v>Md. Harun Ur Rashid</v>
          </cell>
          <cell r="E871">
            <v>532010</v>
          </cell>
          <cell r="F871" t="str">
            <v>Quality Control</v>
          </cell>
          <cell r="G871" t="str">
            <v>Senior Executive</v>
          </cell>
        </row>
        <row r="872">
          <cell r="B872">
            <v>532093</v>
          </cell>
          <cell r="C872" t="str">
            <v>AVL-102</v>
          </cell>
          <cell r="D872" t="str">
            <v>Tarek Mahmud Utsho</v>
          </cell>
          <cell r="E872">
            <v>532093</v>
          </cell>
          <cell r="F872" t="str">
            <v>HR</v>
          </cell>
          <cell r="G872" t="str">
            <v>Deputy Manager</v>
          </cell>
        </row>
        <row r="873">
          <cell r="B873">
            <v>533125</v>
          </cell>
          <cell r="C873" t="str">
            <v>AFBL(Marketing)-8513</v>
          </cell>
          <cell r="D873" t="str">
            <v>Md. Amin Uddin</v>
          </cell>
          <cell r="E873">
            <v>533125</v>
          </cell>
          <cell r="F873" t="str">
            <v>Sales &amp; Marketing</v>
          </cell>
          <cell r="G873" t="str">
            <v>Territory Sales Manager</v>
          </cell>
        </row>
        <row r="874">
          <cell r="B874">
            <v>533126</v>
          </cell>
          <cell r="C874" t="str">
            <v>AFBL(Marketing)-8514</v>
          </cell>
          <cell r="D874" t="str">
            <v>Sahin Alam</v>
          </cell>
          <cell r="E874">
            <v>533126</v>
          </cell>
          <cell r="F874" t="str">
            <v>Sales &amp; Marketing</v>
          </cell>
          <cell r="G874" t="str">
            <v>Territory Sales Manager</v>
          </cell>
        </row>
        <row r="875">
          <cell r="B875">
            <v>533135</v>
          </cell>
          <cell r="C875" t="str">
            <v>AFBL-R3152</v>
          </cell>
          <cell r="D875" t="str">
            <v>Zahid Hasan</v>
          </cell>
          <cell r="E875">
            <v>533135</v>
          </cell>
          <cell r="F875" t="str">
            <v>Internal Audit &amp; Compliance</v>
          </cell>
          <cell r="G875" t="str">
            <v>Executive</v>
          </cell>
        </row>
        <row r="876">
          <cell r="B876">
            <v>533136</v>
          </cell>
          <cell r="C876" t="str">
            <v>AFBL-R3153</v>
          </cell>
          <cell r="D876" t="str">
            <v>Md. Anisur Rahman</v>
          </cell>
          <cell r="E876">
            <v>533136</v>
          </cell>
          <cell r="F876" t="str">
            <v>Institutional Sales</v>
          </cell>
          <cell r="G876" t="str">
            <v>Junior Executive</v>
          </cell>
        </row>
        <row r="877">
          <cell r="B877">
            <v>533200</v>
          </cell>
          <cell r="C877" t="str">
            <v>AVL-104</v>
          </cell>
          <cell r="D877" t="str">
            <v>Mst. Selima Aslam</v>
          </cell>
          <cell r="E877">
            <v>533200</v>
          </cell>
          <cell r="F877" t="str">
            <v>Transport</v>
          </cell>
          <cell r="G877" t="str">
            <v>Junior Executive</v>
          </cell>
        </row>
        <row r="878">
          <cell r="B878">
            <v>533347</v>
          </cell>
          <cell r="C878" t="str">
            <v>ADL-277</v>
          </cell>
          <cell r="D878" t="str">
            <v>Md. Neyamat Ullah</v>
          </cell>
          <cell r="E878">
            <v>533347</v>
          </cell>
          <cell r="F878" t="str">
            <v>Sales &amp; Marketing</v>
          </cell>
          <cell r="G878" t="str">
            <v>Territory Sales Manager</v>
          </cell>
        </row>
        <row r="879">
          <cell r="B879">
            <v>533443</v>
          </cell>
          <cell r="C879" t="str">
            <v>AVL-106</v>
          </cell>
          <cell r="D879" t="str">
            <v>Md. Abdulla Al Mamun Sazal</v>
          </cell>
          <cell r="E879">
            <v>533443</v>
          </cell>
          <cell r="F879" t="str">
            <v>Admin</v>
          </cell>
          <cell r="G879" t="str">
            <v>Executive</v>
          </cell>
        </row>
        <row r="880">
          <cell r="B880">
            <v>533457</v>
          </cell>
          <cell r="C880" t="str">
            <v>AFBL-R3157</v>
          </cell>
          <cell r="D880" t="str">
            <v>Md. Rokonuzzaman Tamim</v>
          </cell>
          <cell r="E880">
            <v>533457</v>
          </cell>
          <cell r="F880" t="str">
            <v xml:space="preserve">Cooler Management </v>
          </cell>
          <cell r="G880" t="str">
            <v>Junior Executive</v>
          </cell>
        </row>
        <row r="881">
          <cell r="B881">
            <v>533458</v>
          </cell>
          <cell r="C881" t="str">
            <v>AFBL-R3158</v>
          </cell>
          <cell r="D881" t="str">
            <v>Md. Nazmul Hossen</v>
          </cell>
          <cell r="E881">
            <v>533458</v>
          </cell>
          <cell r="F881" t="str">
            <v xml:space="preserve">Cooler Management </v>
          </cell>
          <cell r="G881" t="str">
            <v>Junior Executive</v>
          </cell>
        </row>
        <row r="882">
          <cell r="B882">
            <v>533543</v>
          </cell>
          <cell r="C882" t="str">
            <v>AFBL-R3162</v>
          </cell>
          <cell r="D882" t="str">
            <v>Md. Omar Faruk Sheikh</v>
          </cell>
          <cell r="E882">
            <v>533543</v>
          </cell>
          <cell r="F882" t="str">
            <v>Market Audit &amp; Business Intelligence</v>
          </cell>
          <cell r="G882" t="str">
            <v>Executive</v>
          </cell>
        </row>
        <row r="883">
          <cell r="B883">
            <v>533545</v>
          </cell>
          <cell r="C883" t="str">
            <v>AFBL-R3164</v>
          </cell>
          <cell r="D883" t="str">
            <v>Md. Mahamudul Hasan Chy</v>
          </cell>
          <cell r="E883">
            <v>533545</v>
          </cell>
          <cell r="F883" t="str">
            <v>Market Audit &amp; Business Intelligence</v>
          </cell>
          <cell r="G883" t="str">
            <v>Executive</v>
          </cell>
        </row>
        <row r="884">
          <cell r="B884">
            <v>533546</v>
          </cell>
          <cell r="C884" t="str">
            <v>AFBL-R3165</v>
          </cell>
          <cell r="D884" t="str">
            <v>Md. Jahirul Islam</v>
          </cell>
          <cell r="E884">
            <v>533546</v>
          </cell>
          <cell r="F884" t="str">
            <v>Market Audit &amp; Business Intelligence</v>
          </cell>
          <cell r="G884" t="str">
            <v>Executive</v>
          </cell>
        </row>
        <row r="885">
          <cell r="B885">
            <v>533559</v>
          </cell>
          <cell r="C885" t="str">
            <v>ADL-296</v>
          </cell>
          <cell r="D885" t="str">
            <v>Md. Rokhy Khan Razu</v>
          </cell>
          <cell r="E885">
            <v>533559</v>
          </cell>
          <cell r="F885" t="str">
            <v>Sales &amp; Marketing</v>
          </cell>
          <cell r="G885" t="str">
            <v>Territory Sales Manager</v>
          </cell>
        </row>
        <row r="886">
          <cell r="B886">
            <v>533588</v>
          </cell>
          <cell r="C886" t="str">
            <v>FR4651</v>
          </cell>
          <cell r="D886" t="str">
            <v xml:space="preserve">Saddam Hossain </v>
          </cell>
          <cell r="E886">
            <v>533588</v>
          </cell>
          <cell r="F886" t="str">
            <v>CSD</v>
          </cell>
          <cell r="G886" t="str">
            <v>Executive</v>
          </cell>
        </row>
        <row r="887">
          <cell r="B887">
            <v>533686</v>
          </cell>
          <cell r="C887" t="str">
            <v>AFBL(Marketing)-8663</v>
          </cell>
          <cell r="D887" t="str">
            <v>Sazzadul Islam</v>
          </cell>
          <cell r="E887">
            <v>533686</v>
          </cell>
          <cell r="F887" t="str">
            <v>Sales &amp; Marketing</v>
          </cell>
          <cell r="G887" t="str">
            <v>Territory Sales Manager</v>
          </cell>
        </row>
        <row r="888">
          <cell r="B888">
            <v>533716</v>
          </cell>
          <cell r="C888" t="str">
            <v>FR4663</v>
          </cell>
          <cell r="D888" t="str">
            <v>Md. Ariful Islam</v>
          </cell>
          <cell r="E888">
            <v>533716</v>
          </cell>
          <cell r="F888" t="str">
            <v>Quality Control</v>
          </cell>
          <cell r="G888" t="str">
            <v>Executive</v>
          </cell>
        </row>
        <row r="889">
          <cell r="B889">
            <v>533717</v>
          </cell>
          <cell r="C889" t="str">
            <v>FR4664</v>
          </cell>
          <cell r="D889" t="str">
            <v>Md. Habib Ul Wadud</v>
          </cell>
          <cell r="E889">
            <v>533717</v>
          </cell>
          <cell r="F889" t="str">
            <v>Functional Food and Beverage RnD</v>
          </cell>
          <cell r="G889" t="str">
            <v>Executive</v>
          </cell>
        </row>
        <row r="890">
          <cell r="B890">
            <v>533718</v>
          </cell>
          <cell r="C890" t="str">
            <v>FR4665</v>
          </cell>
          <cell r="D890" t="str">
            <v>Tushar Pudder</v>
          </cell>
          <cell r="E890">
            <v>533718</v>
          </cell>
          <cell r="F890" t="str">
            <v>Quality Control</v>
          </cell>
          <cell r="G890" t="str">
            <v>Microbiologist</v>
          </cell>
        </row>
        <row r="891">
          <cell r="B891">
            <v>533719</v>
          </cell>
          <cell r="C891" t="str">
            <v>FR4666</v>
          </cell>
          <cell r="D891" t="str">
            <v>Md. Zamil Hoosain</v>
          </cell>
          <cell r="E891">
            <v>533719</v>
          </cell>
          <cell r="F891" t="str">
            <v>Snacks</v>
          </cell>
          <cell r="G891" t="str">
            <v>Executive</v>
          </cell>
        </row>
        <row r="892">
          <cell r="B892">
            <v>533737</v>
          </cell>
          <cell r="C892" t="str">
            <v>FR4667</v>
          </cell>
          <cell r="D892" t="str">
            <v>Bishwajit Helder</v>
          </cell>
          <cell r="E892">
            <v>533737</v>
          </cell>
          <cell r="F892" t="str">
            <v>Quality Control</v>
          </cell>
          <cell r="G892" t="str">
            <v>Executive</v>
          </cell>
        </row>
        <row r="893">
          <cell r="B893">
            <v>533741</v>
          </cell>
          <cell r="C893" t="str">
            <v>AFBL(Marketing)-8667</v>
          </cell>
          <cell r="D893" t="str">
            <v>Bulbul Ahammed</v>
          </cell>
          <cell r="E893">
            <v>533741</v>
          </cell>
          <cell r="F893" t="str">
            <v>Sales &amp; Marketing</v>
          </cell>
          <cell r="G893" t="str">
            <v>Area Sales Manager</v>
          </cell>
        </row>
        <row r="894">
          <cell r="B894">
            <v>533742</v>
          </cell>
          <cell r="C894" t="str">
            <v>AFBL(Marketing)-8668</v>
          </cell>
          <cell r="D894" t="str">
            <v>Md. Eajmul Hasan</v>
          </cell>
          <cell r="E894">
            <v>533742</v>
          </cell>
          <cell r="F894" t="str">
            <v>Sales &amp; Marketing</v>
          </cell>
          <cell r="G894" t="str">
            <v>Area Sales Manager</v>
          </cell>
        </row>
        <row r="895">
          <cell r="B895">
            <v>533798</v>
          </cell>
          <cell r="C895" t="str">
            <v>FR4688</v>
          </cell>
          <cell r="D895" t="str">
            <v>Md. Tazim Uddin</v>
          </cell>
          <cell r="E895">
            <v>533798</v>
          </cell>
          <cell r="F895" t="str">
            <v>PPS</v>
          </cell>
          <cell r="G895" t="str">
            <v>Senior Engineer</v>
          </cell>
        </row>
        <row r="896">
          <cell r="B896">
            <v>533833</v>
          </cell>
          <cell r="C896" t="str">
            <v>AFBL-R3171</v>
          </cell>
          <cell r="D896" t="str">
            <v>Tasnim Jahan Audita</v>
          </cell>
          <cell r="E896">
            <v>533833</v>
          </cell>
          <cell r="F896" t="str">
            <v>Commercial</v>
          </cell>
          <cell r="G896" t="str">
            <v>Senior Executive</v>
          </cell>
        </row>
        <row r="897">
          <cell r="B897">
            <v>533875</v>
          </cell>
          <cell r="C897" t="str">
            <v>FR4710</v>
          </cell>
          <cell r="D897" t="str">
            <v>Md. Kazi Shahenur</v>
          </cell>
          <cell r="E897">
            <v>533875</v>
          </cell>
          <cell r="F897" t="str">
            <v>CSD</v>
          </cell>
          <cell r="G897" t="str">
            <v>Junior Executive</v>
          </cell>
        </row>
        <row r="898">
          <cell r="B898">
            <v>533937</v>
          </cell>
          <cell r="C898" t="str">
            <v>FR4719</v>
          </cell>
          <cell r="D898" t="str">
            <v>Mehidi Hashan</v>
          </cell>
          <cell r="E898">
            <v>533937</v>
          </cell>
          <cell r="F898" t="str">
            <v>Functional Food and Beverage RnD</v>
          </cell>
          <cell r="G898" t="str">
            <v>Junior Executive</v>
          </cell>
        </row>
        <row r="899">
          <cell r="B899">
            <v>533962</v>
          </cell>
          <cell r="C899" t="str">
            <v>FR4723</v>
          </cell>
          <cell r="D899" t="str">
            <v>Md.Sohel Rana</v>
          </cell>
          <cell r="E899">
            <v>533962</v>
          </cell>
          <cell r="F899" t="str">
            <v>Functional Food and Beverage RnD</v>
          </cell>
          <cell r="G899" t="str">
            <v>Senior Executive</v>
          </cell>
        </row>
        <row r="900">
          <cell r="B900">
            <v>534142</v>
          </cell>
          <cell r="C900" t="str">
            <v>FR4738</v>
          </cell>
          <cell r="D900" t="str">
            <v>Md. Mahmudul Hasan</v>
          </cell>
          <cell r="E900">
            <v>534142</v>
          </cell>
          <cell r="F900" t="str">
            <v>Quality Control</v>
          </cell>
          <cell r="G900" t="str">
            <v>Junior Executive</v>
          </cell>
        </row>
        <row r="901">
          <cell r="B901">
            <v>534154</v>
          </cell>
          <cell r="C901" t="str">
            <v>FR4740</v>
          </cell>
          <cell r="D901" t="str">
            <v xml:space="preserve">Md.Mahmodul Hasan </v>
          </cell>
          <cell r="E901">
            <v>534154</v>
          </cell>
          <cell r="F901" t="str">
            <v>Quality Control</v>
          </cell>
          <cell r="G901" t="str">
            <v>Junior Executive</v>
          </cell>
        </row>
        <row r="902">
          <cell r="B902">
            <v>534319</v>
          </cell>
          <cell r="C902" t="str">
            <v>AFBL(Marketing)-8827</v>
          </cell>
          <cell r="D902" t="str">
            <v>Md. Moin Uddin</v>
          </cell>
          <cell r="E902">
            <v>534319</v>
          </cell>
          <cell r="F902" t="str">
            <v>Sales &amp; Marketing</v>
          </cell>
          <cell r="G902" t="str">
            <v>Territory Sales Manager</v>
          </cell>
        </row>
        <row r="903">
          <cell r="B903">
            <v>534349</v>
          </cell>
          <cell r="C903" t="str">
            <v>AFBL-R3175</v>
          </cell>
          <cell r="D903" t="str">
            <v>Md. Nuruzzaman</v>
          </cell>
          <cell r="E903">
            <v>534349</v>
          </cell>
          <cell r="F903" t="str">
            <v>Export</v>
          </cell>
          <cell r="G903" t="str">
            <v>Assistant Manager</v>
          </cell>
        </row>
        <row r="904">
          <cell r="B904">
            <v>534371</v>
          </cell>
          <cell r="C904" t="str">
            <v>FR4767</v>
          </cell>
          <cell r="D904" t="str">
            <v>Abdullah Jobaer</v>
          </cell>
          <cell r="E904">
            <v>534371</v>
          </cell>
          <cell r="F904" t="str">
            <v>Mechanical</v>
          </cell>
          <cell r="G904" t="str">
            <v>Assistant Engineer</v>
          </cell>
        </row>
        <row r="905">
          <cell r="B905">
            <v>534396</v>
          </cell>
          <cell r="C905" t="str">
            <v>AFBL(Marketing)-8872</v>
          </cell>
          <cell r="D905" t="str">
            <v>Obaidul Islam</v>
          </cell>
          <cell r="E905">
            <v>534396</v>
          </cell>
          <cell r="F905" t="str">
            <v>HORECA</v>
          </cell>
          <cell r="G905" t="str">
            <v>Junior Executive</v>
          </cell>
        </row>
        <row r="906">
          <cell r="B906">
            <v>535476</v>
          </cell>
          <cell r="C906" t="str">
            <v>FR4776</v>
          </cell>
          <cell r="D906" t="str">
            <v xml:space="preserve">Md.Mehedi Hasan </v>
          </cell>
          <cell r="E906">
            <v>535476</v>
          </cell>
          <cell r="F906" t="str">
            <v>Electrical</v>
          </cell>
          <cell r="G906" t="str">
            <v>Engineer</v>
          </cell>
        </row>
        <row r="907">
          <cell r="B907">
            <v>535557</v>
          </cell>
          <cell r="C907" t="str">
            <v>FR4780</v>
          </cell>
          <cell r="D907" t="str">
            <v>Shahadat</v>
          </cell>
          <cell r="E907">
            <v>535557</v>
          </cell>
          <cell r="F907" t="str">
            <v>WTP</v>
          </cell>
          <cell r="G907" t="str">
            <v>Executive</v>
          </cell>
        </row>
        <row r="908">
          <cell r="B908">
            <v>535685</v>
          </cell>
          <cell r="C908" t="str">
            <v>FR4800</v>
          </cell>
          <cell r="D908" t="str">
            <v xml:space="preserve">Antu Kumar Saha </v>
          </cell>
          <cell r="E908">
            <v>535685</v>
          </cell>
          <cell r="F908" t="str">
            <v>Electrical</v>
          </cell>
          <cell r="G908" t="str">
            <v>Engineer</v>
          </cell>
        </row>
        <row r="909">
          <cell r="B909">
            <v>535742</v>
          </cell>
          <cell r="C909" t="str">
            <v>FR4801</v>
          </cell>
          <cell r="D909" t="str">
            <v>Md. Mizanur Sarkar</v>
          </cell>
          <cell r="E909">
            <v>535742</v>
          </cell>
          <cell r="F909" t="str">
            <v>Quality Control</v>
          </cell>
          <cell r="G909" t="str">
            <v>Executive</v>
          </cell>
        </row>
        <row r="910">
          <cell r="B910">
            <v>535810</v>
          </cell>
          <cell r="C910" t="str">
            <v>FR4806</v>
          </cell>
          <cell r="D910" t="str">
            <v>Shariar Rashid Shadin</v>
          </cell>
          <cell r="E910">
            <v>535810</v>
          </cell>
          <cell r="F910" t="str">
            <v>Quality Control</v>
          </cell>
          <cell r="G910" t="str">
            <v>Executive</v>
          </cell>
        </row>
        <row r="911">
          <cell r="B911">
            <v>535894</v>
          </cell>
          <cell r="C911" t="str">
            <v>FR4812</v>
          </cell>
          <cell r="D911" t="str">
            <v>Md. Masud Rana</v>
          </cell>
          <cell r="E911">
            <v>535894</v>
          </cell>
          <cell r="F911" t="str">
            <v>Snacks</v>
          </cell>
          <cell r="G911" t="str">
            <v>Executive</v>
          </cell>
        </row>
        <row r="912">
          <cell r="B912">
            <v>536066</v>
          </cell>
          <cell r="C912" t="str">
            <v>FR4828</v>
          </cell>
          <cell r="D912" t="str">
            <v xml:space="preserve">Md.Al Amin Rushat </v>
          </cell>
          <cell r="E912">
            <v>536066</v>
          </cell>
          <cell r="F912" t="str">
            <v>Vat Department</v>
          </cell>
          <cell r="G912" t="str">
            <v>Executive</v>
          </cell>
        </row>
        <row r="913">
          <cell r="B913">
            <v>536158</v>
          </cell>
          <cell r="C913" t="str">
            <v>FR4845</v>
          </cell>
          <cell r="D913" t="str">
            <v>Md. Mizanur Rahaman</v>
          </cell>
          <cell r="E913">
            <v>536158</v>
          </cell>
          <cell r="F913" t="str">
            <v>Store</v>
          </cell>
          <cell r="G913" t="str">
            <v>Executive</v>
          </cell>
        </row>
        <row r="914">
          <cell r="B914">
            <v>536252</v>
          </cell>
          <cell r="C914" t="str">
            <v>FR4846</v>
          </cell>
          <cell r="D914" t="str">
            <v>Md. Ali Habib</v>
          </cell>
          <cell r="E914">
            <v>536252</v>
          </cell>
          <cell r="F914" t="str">
            <v>Quality Control</v>
          </cell>
          <cell r="G914" t="str">
            <v>Executive</v>
          </cell>
        </row>
        <row r="915">
          <cell r="B915">
            <v>536307</v>
          </cell>
          <cell r="C915" t="str">
            <v>FR4847</v>
          </cell>
          <cell r="D915" t="str">
            <v>Md. Babul Hossain</v>
          </cell>
          <cell r="E915">
            <v>536307</v>
          </cell>
          <cell r="F915" t="str">
            <v>Vat Department</v>
          </cell>
          <cell r="G915" t="str">
            <v>Junior Executive</v>
          </cell>
        </row>
        <row r="916">
          <cell r="B916">
            <v>536403</v>
          </cell>
          <cell r="C916" t="str">
            <v>FR4860</v>
          </cell>
          <cell r="D916" t="str">
            <v>Md. Mizan Sarker</v>
          </cell>
          <cell r="E916">
            <v>536403</v>
          </cell>
          <cell r="F916" t="str">
            <v>CSD</v>
          </cell>
          <cell r="G916" t="str">
            <v>Executive</v>
          </cell>
        </row>
        <row r="917">
          <cell r="B917">
            <v>536404</v>
          </cell>
          <cell r="C917" t="str">
            <v>FR4861</v>
          </cell>
          <cell r="D917" t="str">
            <v>Sahabur Sikder</v>
          </cell>
          <cell r="E917">
            <v>536404</v>
          </cell>
          <cell r="F917" t="str">
            <v>Quality Control</v>
          </cell>
          <cell r="G917" t="str">
            <v>Executive</v>
          </cell>
        </row>
        <row r="918">
          <cell r="B918">
            <v>536478</v>
          </cell>
          <cell r="C918" t="str">
            <v>AFBL-R3180</v>
          </cell>
          <cell r="D918" t="str">
            <v>Tapos Mondal</v>
          </cell>
          <cell r="E918">
            <v>536478</v>
          </cell>
          <cell r="F918" t="str">
            <v xml:space="preserve">Cooler Management </v>
          </cell>
          <cell r="G918" t="str">
            <v>Junior Executive</v>
          </cell>
        </row>
        <row r="919">
          <cell r="B919">
            <v>536479</v>
          </cell>
          <cell r="C919" t="str">
            <v>AFBL-R3181</v>
          </cell>
          <cell r="D919" t="str">
            <v>Md. Foridul Islam Shagor</v>
          </cell>
          <cell r="E919">
            <v>536479</v>
          </cell>
          <cell r="F919" t="str">
            <v xml:space="preserve">Cooler Management </v>
          </cell>
          <cell r="G919" t="str">
            <v>Junior Executive</v>
          </cell>
        </row>
        <row r="920">
          <cell r="B920">
            <v>536480</v>
          </cell>
          <cell r="C920" t="str">
            <v>AFBL-R3182</v>
          </cell>
          <cell r="D920" t="str">
            <v>Kazi Arifur Rahman</v>
          </cell>
          <cell r="E920">
            <v>536480</v>
          </cell>
          <cell r="F920" t="str">
            <v>Market Audit &amp; Business Intelligence</v>
          </cell>
          <cell r="G920" t="str">
            <v>Senior Executive</v>
          </cell>
        </row>
        <row r="921">
          <cell r="B921">
            <v>536494</v>
          </cell>
          <cell r="C921" t="str">
            <v>FR4866</v>
          </cell>
          <cell r="D921" t="str">
            <v xml:space="preserve">Md.Muhaiminul Islam </v>
          </cell>
          <cell r="E921">
            <v>536494</v>
          </cell>
          <cell r="F921" t="str">
            <v>Drinking Water Plant</v>
          </cell>
          <cell r="G921" t="str">
            <v>Executive</v>
          </cell>
        </row>
        <row r="922">
          <cell r="B922">
            <v>536500</v>
          </cell>
          <cell r="C922" t="str">
            <v>FR4867</v>
          </cell>
          <cell r="D922" t="str">
            <v xml:space="preserve">Md.Ali Hasan </v>
          </cell>
          <cell r="E922">
            <v>536500</v>
          </cell>
          <cell r="F922" t="str">
            <v>CSD</v>
          </cell>
          <cell r="G922" t="str">
            <v>Executive</v>
          </cell>
        </row>
        <row r="923">
          <cell r="B923">
            <v>536503</v>
          </cell>
          <cell r="C923" t="str">
            <v>AFBL-R3184</v>
          </cell>
          <cell r="D923" t="str">
            <v>Rajib Gazi</v>
          </cell>
          <cell r="E923">
            <v>536503</v>
          </cell>
          <cell r="F923" t="str">
            <v>Accounts And Finance</v>
          </cell>
          <cell r="G923" t="str">
            <v>Junior Executive</v>
          </cell>
        </row>
        <row r="924">
          <cell r="B924">
            <v>536590</v>
          </cell>
          <cell r="C924" t="str">
            <v>AVL-116</v>
          </cell>
          <cell r="D924" t="str">
            <v>Md. Mosaddik Hossain</v>
          </cell>
          <cell r="E924">
            <v>536590</v>
          </cell>
          <cell r="F924" t="str">
            <v>IT</v>
          </cell>
          <cell r="G924" t="str">
            <v>Assistant General Manager</v>
          </cell>
        </row>
        <row r="925">
          <cell r="B925">
            <v>536627</v>
          </cell>
          <cell r="C925" t="str">
            <v>AFBL-R3185</v>
          </cell>
          <cell r="D925" t="str">
            <v>Md. Abu Sayed Chowdhary</v>
          </cell>
          <cell r="E925">
            <v>536627</v>
          </cell>
          <cell r="F925" t="str">
            <v>Admin</v>
          </cell>
          <cell r="G925" t="str">
            <v>Assistant Manager</v>
          </cell>
        </row>
        <row r="926">
          <cell r="B926">
            <v>536975</v>
          </cell>
          <cell r="C926" t="str">
            <v>AFBL-R3190</v>
          </cell>
          <cell r="D926" t="str">
            <v>Zahid Hasan Akash</v>
          </cell>
          <cell r="E926">
            <v>536975</v>
          </cell>
          <cell r="F926" t="str">
            <v>Commercial</v>
          </cell>
          <cell r="G926" t="str">
            <v>Junior Executive</v>
          </cell>
        </row>
        <row r="927">
          <cell r="B927">
            <v>536976</v>
          </cell>
          <cell r="C927" t="str">
            <v>AFBL(Marketing)-9221</v>
          </cell>
          <cell r="D927" t="str">
            <v>Md. Sharful Islam</v>
          </cell>
          <cell r="E927">
            <v>536976</v>
          </cell>
          <cell r="F927" t="str">
            <v>Sales &amp; Marketing</v>
          </cell>
          <cell r="G927" t="str">
            <v>Territory Sales Manager</v>
          </cell>
        </row>
        <row r="928">
          <cell r="B928">
            <v>536979</v>
          </cell>
          <cell r="C928" t="str">
            <v>AFBL(Marketing)-9224</v>
          </cell>
          <cell r="D928" t="str">
            <v>Ashraful Alam Rafi</v>
          </cell>
          <cell r="E928">
            <v>536979</v>
          </cell>
          <cell r="F928" t="str">
            <v>Sales &amp; Marketing</v>
          </cell>
          <cell r="G928" t="str">
            <v>Territory Sales Manager</v>
          </cell>
        </row>
        <row r="929">
          <cell r="B929">
            <v>537177</v>
          </cell>
          <cell r="C929" t="str">
            <v>AFBL(Marketing)-9312</v>
          </cell>
          <cell r="D929" t="str">
            <v>Md. Elias Hossain Toba</v>
          </cell>
          <cell r="E929">
            <v>537177</v>
          </cell>
          <cell r="F929" t="str">
            <v>Sales &amp; Marketing</v>
          </cell>
          <cell r="G929" t="str">
            <v>Territory Sales Manager</v>
          </cell>
        </row>
        <row r="930">
          <cell r="B930">
            <v>537178</v>
          </cell>
          <cell r="C930" t="str">
            <v>AFBL(Marketing)-9313</v>
          </cell>
          <cell r="D930" t="str">
            <v>Md. Rasel</v>
          </cell>
          <cell r="E930">
            <v>537178</v>
          </cell>
          <cell r="F930" t="str">
            <v>Sales &amp; Marketing</v>
          </cell>
          <cell r="G930" t="str">
            <v>Territory Sales Manager</v>
          </cell>
        </row>
        <row r="931">
          <cell r="B931">
            <v>537212</v>
          </cell>
          <cell r="C931" t="str">
            <v>AFBL(Marketing)-9327</v>
          </cell>
          <cell r="D931" t="str">
            <v>Md. Mostafizur Rahman</v>
          </cell>
          <cell r="E931">
            <v>537212</v>
          </cell>
          <cell r="F931" t="str">
            <v>Institutional Sales</v>
          </cell>
          <cell r="G931" t="str">
            <v>Junior Executive</v>
          </cell>
        </row>
        <row r="932">
          <cell r="B932">
            <v>537249</v>
          </cell>
          <cell r="C932" t="str">
            <v>AFBL-R3195</v>
          </cell>
          <cell r="D932" t="str">
            <v>Md. Babul Hossain</v>
          </cell>
          <cell r="E932">
            <v>537249</v>
          </cell>
          <cell r="F932" t="str">
            <v>Commercial</v>
          </cell>
          <cell r="G932" t="str">
            <v>Senior Executive</v>
          </cell>
        </row>
        <row r="933">
          <cell r="B933">
            <v>537410</v>
          </cell>
          <cell r="C933" t="str">
            <v>FR4926</v>
          </cell>
          <cell r="D933" t="str">
            <v>Md. Sajedur Rahaman</v>
          </cell>
          <cell r="E933">
            <v>537410</v>
          </cell>
          <cell r="F933" t="str">
            <v>Quality Control</v>
          </cell>
          <cell r="G933" t="str">
            <v>Junior Executive</v>
          </cell>
        </row>
        <row r="934">
          <cell r="B934">
            <v>537431</v>
          </cell>
          <cell r="C934" t="str">
            <v>AFBL-R3196</v>
          </cell>
          <cell r="D934" t="str">
            <v>Kazi Wasikul Islam</v>
          </cell>
          <cell r="E934">
            <v>537431</v>
          </cell>
          <cell r="F934" t="str">
            <v>Clemon Sports</v>
          </cell>
          <cell r="G934" t="str">
            <v>Senior Executive</v>
          </cell>
        </row>
        <row r="935">
          <cell r="B935">
            <v>537542</v>
          </cell>
          <cell r="C935" t="str">
            <v>AFBL(Marketing)-9391</v>
          </cell>
          <cell r="D935" t="str">
            <v>Md. Abu Bakar</v>
          </cell>
          <cell r="E935">
            <v>537542</v>
          </cell>
          <cell r="F935" t="str">
            <v>Sales &amp; Marketing</v>
          </cell>
          <cell r="G935" t="str">
            <v>Territory Sales Manager</v>
          </cell>
        </row>
        <row r="936">
          <cell r="B936">
            <v>537545</v>
          </cell>
          <cell r="C936" t="str">
            <v>AFBL(Marketing)-9394</v>
          </cell>
          <cell r="D936" t="str">
            <v>Mohammad Raju Khan</v>
          </cell>
          <cell r="E936">
            <v>537545</v>
          </cell>
          <cell r="F936" t="str">
            <v>Sales &amp; Marketing</v>
          </cell>
          <cell r="G936" t="str">
            <v>Senior Territory Sales Manager</v>
          </cell>
        </row>
        <row r="937">
          <cell r="B937">
            <v>537546</v>
          </cell>
          <cell r="C937" t="str">
            <v>AFBL(Marketing)-9395</v>
          </cell>
          <cell r="D937" t="str">
            <v>Md. Sakiul Islam</v>
          </cell>
          <cell r="E937">
            <v>537546</v>
          </cell>
          <cell r="F937" t="str">
            <v>Sales &amp; Marketing</v>
          </cell>
          <cell r="G937" t="str">
            <v>Territory Sales Manager</v>
          </cell>
        </row>
        <row r="938">
          <cell r="B938">
            <v>537547</v>
          </cell>
          <cell r="C938" t="str">
            <v>AFBL(Marketing)-9396</v>
          </cell>
          <cell r="D938" t="str">
            <v>Md. Masud Rana</v>
          </cell>
          <cell r="E938">
            <v>537547</v>
          </cell>
          <cell r="F938" t="str">
            <v>Sales &amp; Marketing</v>
          </cell>
          <cell r="G938" t="str">
            <v>Territory Sales Manager</v>
          </cell>
        </row>
        <row r="939">
          <cell r="B939">
            <v>537548</v>
          </cell>
          <cell r="C939" t="str">
            <v>AFBL(Marketing)-9397</v>
          </cell>
          <cell r="D939" t="str">
            <v>Md. Shahanur Rahman</v>
          </cell>
          <cell r="E939">
            <v>537548</v>
          </cell>
          <cell r="F939" t="str">
            <v>Sales &amp; Marketing</v>
          </cell>
          <cell r="G939" t="str">
            <v>Territory Sales Manager</v>
          </cell>
        </row>
        <row r="940">
          <cell r="B940">
            <v>537571</v>
          </cell>
          <cell r="C940" t="str">
            <v>AFBL-R3197</v>
          </cell>
          <cell r="D940" t="str">
            <v>Md. Khairul Islam</v>
          </cell>
          <cell r="E940">
            <v>537571</v>
          </cell>
          <cell r="F940" t="str">
            <v xml:space="preserve">Cooler Management </v>
          </cell>
          <cell r="G940" t="str">
            <v>Junior Executive</v>
          </cell>
        </row>
        <row r="941">
          <cell r="B941">
            <v>537572</v>
          </cell>
          <cell r="C941" t="str">
            <v>AFBL-R3198</v>
          </cell>
          <cell r="D941" t="str">
            <v>Md. Sakib Hossain</v>
          </cell>
          <cell r="E941">
            <v>537572</v>
          </cell>
          <cell r="F941" t="str">
            <v xml:space="preserve">Cooler Management </v>
          </cell>
          <cell r="G941" t="str">
            <v>Junior Executive</v>
          </cell>
        </row>
        <row r="942">
          <cell r="B942">
            <v>537581</v>
          </cell>
          <cell r="C942" t="str">
            <v>AFBL-R3199</v>
          </cell>
          <cell r="D942" t="str">
            <v>Md. Imran Hossain</v>
          </cell>
          <cell r="E942">
            <v>537581</v>
          </cell>
          <cell r="F942" t="str">
            <v>HR</v>
          </cell>
          <cell r="G942" t="str">
            <v>Executive</v>
          </cell>
        </row>
        <row r="943">
          <cell r="B943">
            <v>537598</v>
          </cell>
          <cell r="C943" t="str">
            <v>FR4980</v>
          </cell>
          <cell r="D943" t="str">
            <v xml:space="preserve">Md.Whaliullah </v>
          </cell>
          <cell r="E943">
            <v>537598</v>
          </cell>
          <cell r="F943" t="str">
            <v>Snacks</v>
          </cell>
          <cell r="G943" t="str">
            <v>Executive</v>
          </cell>
        </row>
        <row r="944">
          <cell r="B944">
            <v>537630</v>
          </cell>
          <cell r="C944" t="str">
            <v>AFBL-R3200</v>
          </cell>
          <cell r="D944" t="str">
            <v>Md. Ashikur Rhaman</v>
          </cell>
          <cell r="E944">
            <v>537630</v>
          </cell>
          <cell r="F944" t="str">
            <v>IT</v>
          </cell>
          <cell r="G944" t="str">
            <v>Deputy Manager</v>
          </cell>
        </row>
        <row r="945">
          <cell r="B945">
            <v>537725</v>
          </cell>
          <cell r="C945" t="str">
            <v>AFBL(Marketing)-9446</v>
          </cell>
          <cell r="D945" t="str">
            <v>Md. Solayman Isa</v>
          </cell>
          <cell r="E945">
            <v>537725</v>
          </cell>
          <cell r="F945" t="str">
            <v>Sales &amp; Marketing</v>
          </cell>
          <cell r="G945" t="str">
            <v>Territory Sales Manager</v>
          </cell>
        </row>
        <row r="946">
          <cell r="B946">
            <v>537726</v>
          </cell>
          <cell r="C946" t="str">
            <v>AFBL(Marketing)-9447</v>
          </cell>
          <cell r="D946" t="str">
            <v>Md. Lutfur Rahman</v>
          </cell>
          <cell r="E946">
            <v>537726</v>
          </cell>
          <cell r="F946" t="str">
            <v>Sales &amp; Marketing</v>
          </cell>
          <cell r="G946" t="str">
            <v>Territory Sales Manager</v>
          </cell>
        </row>
        <row r="947">
          <cell r="B947">
            <v>537728</v>
          </cell>
          <cell r="C947" t="str">
            <v>AFBL(Marketing)-9449</v>
          </cell>
          <cell r="D947" t="str">
            <v>Md. Delwar Hossin</v>
          </cell>
          <cell r="E947">
            <v>537728</v>
          </cell>
          <cell r="F947" t="str">
            <v>Sales &amp; Marketing</v>
          </cell>
          <cell r="G947" t="str">
            <v>Territory Sales Manager</v>
          </cell>
        </row>
        <row r="948">
          <cell r="B948">
            <v>537739</v>
          </cell>
          <cell r="C948" t="str">
            <v>AFBL(Marketing)-9460</v>
          </cell>
          <cell r="D948" t="str">
            <v>Md. Emam Hossain</v>
          </cell>
          <cell r="E948">
            <v>537739</v>
          </cell>
          <cell r="F948" t="str">
            <v>Sales &amp; Marketing</v>
          </cell>
          <cell r="G948" t="str">
            <v>Territory Sales Manager</v>
          </cell>
        </row>
        <row r="949">
          <cell r="B949">
            <v>537749</v>
          </cell>
          <cell r="C949" t="str">
            <v>AFBL-R3202</v>
          </cell>
          <cell r="D949" t="str">
            <v>Md. Jahidul Islam</v>
          </cell>
          <cell r="E949">
            <v>537749</v>
          </cell>
          <cell r="F949" t="str">
            <v>Outdoor Management</v>
          </cell>
          <cell r="G949" t="str">
            <v>Executive</v>
          </cell>
        </row>
        <row r="950">
          <cell r="B950">
            <v>537878</v>
          </cell>
          <cell r="C950" t="str">
            <v>AFBL-R3204</v>
          </cell>
          <cell r="D950" t="str">
            <v>Masrur Rahman</v>
          </cell>
          <cell r="E950">
            <v>537878</v>
          </cell>
          <cell r="F950" t="str">
            <v>IT</v>
          </cell>
          <cell r="G950" t="str">
            <v>Deputy Manager</v>
          </cell>
        </row>
        <row r="951">
          <cell r="B951">
            <v>537880</v>
          </cell>
          <cell r="C951" t="str">
            <v>FR5002</v>
          </cell>
          <cell r="D951" t="str">
            <v>Md. Rashed Sarkar</v>
          </cell>
          <cell r="E951">
            <v>537880</v>
          </cell>
          <cell r="F951" t="str">
            <v>Quality Control</v>
          </cell>
          <cell r="G951" t="str">
            <v>Microbiologist</v>
          </cell>
        </row>
        <row r="952">
          <cell r="B952">
            <v>538087</v>
          </cell>
          <cell r="C952" t="str">
            <v>FR5026</v>
          </cell>
          <cell r="D952" t="str">
            <v>Md. Tarifur Rahman</v>
          </cell>
          <cell r="E952">
            <v>538087</v>
          </cell>
          <cell r="F952" t="str">
            <v>Mechanical</v>
          </cell>
          <cell r="G952" t="str">
            <v>Assistant Manager</v>
          </cell>
        </row>
        <row r="953">
          <cell r="B953">
            <v>538103</v>
          </cell>
          <cell r="C953" t="str">
            <v>AFBL(Marketing)- 9551</v>
          </cell>
          <cell r="D953" t="str">
            <v>Md. Rajib Fakir</v>
          </cell>
          <cell r="E953">
            <v>538103</v>
          </cell>
          <cell r="F953" t="str">
            <v>Sales &amp; Marketing</v>
          </cell>
          <cell r="G953" t="str">
            <v>Territory Sales Manager</v>
          </cell>
        </row>
        <row r="954">
          <cell r="B954">
            <v>538115</v>
          </cell>
          <cell r="C954" t="str">
            <v>FR5034</v>
          </cell>
          <cell r="D954" t="str">
            <v>Shah Alam</v>
          </cell>
          <cell r="E954">
            <v>538115</v>
          </cell>
          <cell r="F954" t="str">
            <v>Quality Control</v>
          </cell>
          <cell r="G954" t="str">
            <v>Junior Executive</v>
          </cell>
        </row>
        <row r="955">
          <cell r="B955">
            <v>538118</v>
          </cell>
          <cell r="C955" t="str">
            <v>FR5037</v>
          </cell>
          <cell r="D955" t="str">
            <v>Md. Sulayman Ali</v>
          </cell>
          <cell r="E955">
            <v>538118</v>
          </cell>
          <cell r="F955" t="str">
            <v>Store</v>
          </cell>
          <cell r="G955" t="str">
            <v>Junior Executive</v>
          </cell>
        </row>
        <row r="956">
          <cell r="B956">
            <v>538132</v>
          </cell>
          <cell r="C956" t="str">
            <v>FR5047</v>
          </cell>
          <cell r="D956" t="str">
            <v>Md. Nahid Sarwar Talukder</v>
          </cell>
          <cell r="E956">
            <v>538132</v>
          </cell>
          <cell r="F956" t="str">
            <v>Quality Control</v>
          </cell>
          <cell r="G956" t="str">
            <v>Deputy Manager</v>
          </cell>
        </row>
        <row r="957">
          <cell r="B957">
            <v>538135</v>
          </cell>
          <cell r="C957" t="str">
            <v>AFBL(Marketing)- 9562</v>
          </cell>
          <cell r="D957" t="str">
            <v>Md. Ali Hossain</v>
          </cell>
          <cell r="E957">
            <v>538135</v>
          </cell>
          <cell r="F957" t="str">
            <v>Sales &amp; Marketing</v>
          </cell>
          <cell r="G957" t="str">
            <v>Territory Sales Manager</v>
          </cell>
        </row>
        <row r="958">
          <cell r="B958">
            <v>538157</v>
          </cell>
          <cell r="C958" t="str">
            <v>FR5049</v>
          </cell>
          <cell r="D958" t="str">
            <v xml:space="preserve">K.M.Kawsar Hossain </v>
          </cell>
          <cell r="E958">
            <v>538157</v>
          </cell>
          <cell r="F958" t="str">
            <v>Electrical</v>
          </cell>
          <cell r="G958" t="str">
            <v>Assistant Engineer</v>
          </cell>
        </row>
        <row r="959">
          <cell r="B959">
            <v>538177</v>
          </cell>
          <cell r="C959" t="str">
            <v>AFBL-R3210</v>
          </cell>
          <cell r="D959" t="str">
            <v>Meshuk Kumar Saha</v>
          </cell>
          <cell r="E959">
            <v>538177</v>
          </cell>
          <cell r="F959" t="str">
            <v>Internal Audit &amp; Compliance</v>
          </cell>
          <cell r="G959" t="str">
            <v>Senior Executive</v>
          </cell>
        </row>
        <row r="960">
          <cell r="B960">
            <v>538242</v>
          </cell>
          <cell r="C960" t="str">
            <v>AFBL(Marketing)- 9596</v>
          </cell>
          <cell r="D960" t="str">
            <v>Mahedi Hasan</v>
          </cell>
          <cell r="E960">
            <v>538242</v>
          </cell>
          <cell r="F960" t="str">
            <v>Sales &amp; Marketing</v>
          </cell>
          <cell r="G960" t="str">
            <v>Territory Sales Manager</v>
          </cell>
        </row>
        <row r="961">
          <cell r="B961">
            <v>538245</v>
          </cell>
          <cell r="C961" t="str">
            <v>AFBL(Marketing)- 9599</v>
          </cell>
          <cell r="D961" t="str">
            <v>Md. Mehedi Hassan</v>
          </cell>
          <cell r="E961">
            <v>538245</v>
          </cell>
          <cell r="F961" t="str">
            <v>Sales &amp; Marketing</v>
          </cell>
          <cell r="G961" t="str">
            <v>Territory Sales Manager</v>
          </cell>
        </row>
        <row r="962">
          <cell r="B962">
            <v>538288</v>
          </cell>
          <cell r="C962" t="str">
            <v>AFBL-R3213</v>
          </cell>
          <cell r="D962" t="str">
            <v>Santu Kumar Mani</v>
          </cell>
          <cell r="E962">
            <v>538288</v>
          </cell>
          <cell r="F962" t="str">
            <v>RTM</v>
          </cell>
          <cell r="G962" t="str">
            <v>Executive</v>
          </cell>
        </row>
        <row r="963">
          <cell r="B963">
            <v>538289</v>
          </cell>
          <cell r="C963" t="str">
            <v>AFBL-R3214</v>
          </cell>
          <cell r="D963" t="str">
            <v>Md. Rashel Mia</v>
          </cell>
          <cell r="E963">
            <v>538289</v>
          </cell>
          <cell r="F963" t="str">
            <v>RTM</v>
          </cell>
          <cell r="G963" t="str">
            <v>Executive</v>
          </cell>
        </row>
        <row r="964">
          <cell r="B964">
            <v>538364</v>
          </cell>
          <cell r="C964" t="str">
            <v>FR5070</v>
          </cell>
          <cell r="D964" t="str">
            <v>Sumon Kumar Paul</v>
          </cell>
          <cell r="E964">
            <v>538364</v>
          </cell>
          <cell r="F964" t="str">
            <v>Quality Control</v>
          </cell>
          <cell r="G964" t="str">
            <v>Executive</v>
          </cell>
        </row>
        <row r="965">
          <cell r="B965">
            <v>538499</v>
          </cell>
          <cell r="C965" t="str">
            <v>AFBL-R3216</v>
          </cell>
          <cell r="D965" t="str">
            <v>Mohammad Asaduzzaman Riad</v>
          </cell>
          <cell r="E965">
            <v>538499</v>
          </cell>
          <cell r="F965" t="str">
            <v>Accounts And Finance</v>
          </cell>
          <cell r="G965" t="str">
            <v>Executive</v>
          </cell>
        </row>
        <row r="966">
          <cell r="B966">
            <v>538500</v>
          </cell>
          <cell r="C966" t="str">
            <v>AFBL-R3217</v>
          </cell>
          <cell r="D966" t="str">
            <v>Talim Hossain Salman</v>
          </cell>
          <cell r="E966">
            <v>538500</v>
          </cell>
          <cell r="F966" t="str">
            <v>RTM</v>
          </cell>
          <cell r="G966" t="str">
            <v>Junior Executive</v>
          </cell>
        </row>
        <row r="967">
          <cell r="B967">
            <v>538655</v>
          </cell>
          <cell r="C967" t="str">
            <v>AFBL-R3223</v>
          </cell>
          <cell r="D967" t="str">
            <v>Monjur Shariya Bhuiyan</v>
          </cell>
          <cell r="E967">
            <v>538655</v>
          </cell>
          <cell r="F967" t="str">
            <v>Legal Affairs</v>
          </cell>
          <cell r="G967" t="str">
            <v>Executive</v>
          </cell>
        </row>
        <row r="968">
          <cell r="B968">
            <v>538687</v>
          </cell>
          <cell r="C968" t="str">
            <v>FR5083</v>
          </cell>
          <cell r="D968" t="str">
            <v>Md. Mahmudul Hasan</v>
          </cell>
          <cell r="E968">
            <v>538687</v>
          </cell>
          <cell r="F968" t="str">
            <v>Store</v>
          </cell>
          <cell r="G968" t="str">
            <v>Executive</v>
          </cell>
        </row>
        <row r="969">
          <cell r="B969">
            <v>538799</v>
          </cell>
          <cell r="C969" t="str">
            <v>AFBL(Marketing)-9738</v>
          </cell>
          <cell r="D969" t="str">
            <v>Md Shahzahan Ali</v>
          </cell>
          <cell r="E969">
            <v>538799</v>
          </cell>
          <cell r="F969" t="str">
            <v>Sales &amp; Marketing</v>
          </cell>
          <cell r="G969" t="str">
            <v>Territory Sales Manager</v>
          </cell>
        </row>
        <row r="970">
          <cell r="B970">
            <v>538804</v>
          </cell>
          <cell r="C970" t="str">
            <v>AFBL(Marketing)-9742</v>
          </cell>
          <cell r="D970" t="str">
            <v>Md Mostafizur Rahman</v>
          </cell>
          <cell r="E970">
            <v>538804</v>
          </cell>
          <cell r="F970" t="str">
            <v>Sales &amp; Marketing</v>
          </cell>
          <cell r="G970" t="str">
            <v>Territory Sales Manager</v>
          </cell>
        </row>
        <row r="971">
          <cell r="B971">
            <v>538840</v>
          </cell>
          <cell r="C971" t="str">
            <v>AFBL-R3233</v>
          </cell>
          <cell r="D971" t="str">
            <v>Md. Shohel Rana</v>
          </cell>
          <cell r="E971">
            <v>538840</v>
          </cell>
          <cell r="F971" t="str">
            <v>Admin</v>
          </cell>
          <cell r="G971" t="str">
            <v>Junior Executive</v>
          </cell>
        </row>
        <row r="972">
          <cell r="B972">
            <v>538872</v>
          </cell>
          <cell r="C972" t="str">
            <v>AFBL(Marketing)-9782</v>
          </cell>
          <cell r="D972" t="str">
            <v>Md Al Amin</v>
          </cell>
          <cell r="E972">
            <v>538872</v>
          </cell>
          <cell r="F972" t="str">
            <v>Sales &amp; Marketing</v>
          </cell>
          <cell r="G972" t="str">
            <v>Territory Sales Manager</v>
          </cell>
        </row>
        <row r="973">
          <cell r="B973">
            <v>539022</v>
          </cell>
          <cell r="C973" t="str">
            <v>AGRO-943</v>
          </cell>
          <cell r="D973" t="str">
            <v>Sabuj Islam</v>
          </cell>
          <cell r="E973">
            <v>539022</v>
          </cell>
          <cell r="F973" t="str">
            <v>Quality Control</v>
          </cell>
          <cell r="G973" t="str">
            <v>Executive</v>
          </cell>
        </row>
        <row r="974">
          <cell r="B974">
            <v>539057</v>
          </cell>
          <cell r="C974" t="str">
            <v>FR5112</v>
          </cell>
          <cell r="D974" t="str">
            <v>Sahida Akter Liya</v>
          </cell>
          <cell r="E974">
            <v>539057</v>
          </cell>
          <cell r="F974" t="str">
            <v>HR</v>
          </cell>
          <cell r="G974" t="str">
            <v>Junior Executive</v>
          </cell>
        </row>
        <row r="975">
          <cell r="B975">
            <v>539110</v>
          </cell>
          <cell r="C975" t="str">
            <v>FR5122</v>
          </cell>
          <cell r="D975" t="str">
            <v>Md. Tezaur Rahman</v>
          </cell>
          <cell r="E975">
            <v>539110</v>
          </cell>
          <cell r="F975" t="str">
            <v>Admin</v>
          </cell>
          <cell r="G975" t="str">
            <v>Executive</v>
          </cell>
        </row>
        <row r="976">
          <cell r="B976">
            <v>539111</v>
          </cell>
          <cell r="C976" t="str">
            <v>FR5123</v>
          </cell>
          <cell r="D976" t="str">
            <v>Md. Ashik Talukdar</v>
          </cell>
          <cell r="E976">
            <v>539111</v>
          </cell>
          <cell r="F976" t="str">
            <v>Quality Control</v>
          </cell>
          <cell r="G976" t="str">
            <v>Junior Executive</v>
          </cell>
        </row>
        <row r="977">
          <cell r="B977">
            <v>539226</v>
          </cell>
          <cell r="C977" t="str">
            <v>AFBL(Marketing)-9891</v>
          </cell>
          <cell r="D977" t="str">
            <v>Md. Tuhin Mia</v>
          </cell>
          <cell r="E977">
            <v>539226</v>
          </cell>
          <cell r="F977" t="str">
            <v>Sales &amp; Marketing</v>
          </cell>
          <cell r="G977" t="str">
            <v>Territory Sales Manager</v>
          </cell>
        </row>
        <row r="978">
          <cell r="B978">
            <v>539340</v>
          </cell>
          <cell r="C978" t="str">
            <v>AFBL(Marketing)-9939</v>
          </cell>
          <cell r="D978" t="str">
            <v>Md Razu Ahmed</v>
          </cell>
          <cell r="E978">
            <v>539340</v>
          </cell>
          <cell r="F978" t="str">
            <v>Sales &amp; Marketing</v>
          </cell>
          <cell r="G978" t="str">
            <v>Territory Sales Manager</v>
          </cell>
        </row>
        <row r="979">
          <cell r="B979">
            <v>539341</v>
          </cell>
          <cell r="C979" t="str">
            <v>AFBL(Marketing)-9940</v>
          </cell>
          <cell r="D979" t="str">
            <v>Md Rakibul Islam</v>
          </cell>
          <cell r="E979">
            <v>539341</v>
          </cell>
          <cell r="F979" t="str">
            <v>Sales &amp; Marketing</v>
          </cell>
          <cell r="G979" t="str">
            <v>Territory Sales Manager</v>
          </cell>
        </row>
        <row r="980">
          <cell r="B980">
            <v>539355</v>
          </cell>
          <cell r="C980" t="str">
            <v>AFBL-R3237</v>
          </cell>
          <cell r="D980" t="str">
            <v>Md Saymum Joynal</v>
          </cell>
          <cell r="E980">
            <v>539355</v>
          </cell>
          <cell r="F980" t="str">
            <v>Business Development &amp; Research</v>
          </cell>
          <cell r="G980" t="str">
            <v>Executive</v>
          </cell>
        </row>
        <row r="981">
          <cell r="B981">
            <v>539567</v>
          </cell>
          <cell r="C981" t="str">
            <v>AFBL-R3240</v>
          </cell>
          <cell r="D981" t="str">
            <v>Md. Nayeem Hossain</v>
          </cell>
          <cell r="E981">
            <v>539567</v>
          </cell>
          <cell r="F981" t="str">
            <v>Modern Trade</v>
          </cell>
          <cell r="G981" t="str">
            <v>Junior Executive</v>
          </cell>
        </row>
        <row r="982">
          <cell r="B982">
            <v>539575</v>
          </cell>
          <cell r="C982" t="str">
            <v>FR5158</v>
          </cell>
          <cell r="D982" t="str">
            <v xml:space="preserve">Mohammad Mohi Uddin </v>
          </cell>
          <cell r="E982">
            <v>539575</v>
          </cell>
          <cell r="F982" t="str">
            <v>CSD</v>
          </cell>
          <cell r="G982" t="str">
            <v>Junior Executive</v>
          </cell>
        </row>
        <row r="983">
          <cell r="B983">
            <v>539717</v>
          </cell>
          <cell r="C983" t="str">
            <v>AFBL(Marketing)-10037</v>
          </cell>
          <cell r="D983" t="str">
            <v>Md. Main Uddin</v>
          </cell>
          <cell r="E983">
            <v>539717</v>
          </cell>
          <cell r="F983" t="str">
            <v>Sales &amp; Marketing</v>
          </cell>
          <cell r="G983" t="str">
            <v>Territory Sales Manager</v>
          </cell>
        </row>
        <row r="984">
          <cell r="B984">
            <v>539754</v>
          </cell>
          <cell r="C984" t="str">
            <v>FR5168</v>
          </cell>
          <cell r="D984" t="str">
            <v>Md. Abu Hasan Feroj</v>
          </cell>
          <cell r="E984">
            <v>539754</v>
          </cell>
          <cell r="F984" t="str">
            <v>Sugar</v>
          </cell>
          <cell r="G984" t="str">
            <v>Executive</v>
          </cell>
        </row>
        <row r="985">
          <cell r="B985">
            <v>539758</v>
          </cell>
          <cell r="C985" t="str">
            <v>AALL-21</v>
          </cell>
          <cell r="D985" t="str">
            <v xml:space="preserve">Md.Motiur Rahman </v>
          </cell>
          <cell r="E985">
            <v>539758</v>
          </cell>
          <cell r="F985" t="str">
            <v>Production</v>
          </cell>
          <cell r="G985" t="str">
            <v>Junior Executive</v>
          </cell>
        </row>
        <row r="986">
          <cell r="B986">
            <v>539903</v>
          </cell>
          <cell r="C986" t="str">
            <v>AFBL-R3243</v>
          </cell>
          <cell r="D986" t="str">
            <v>Md. Shah Budrul Riaz</v>
          </cell>
          <cell r="E986">
            <v>539903</v>
          </cell>
          <cell r="F986" t="str">
            <v>Sales Admin</v>
          </cell>
          <cell r="G986" t="str">
            <v>Manager</v>
          </cell>
        </row>
        <row r="987">
          <cell r="B987">
            <v>539904</v>
          </cell>
          <cell r="C987" t="str">
            <v>AFBL-R3244</v>
          </cell>
          <cell r="D987" t="str">
            <v>Alrubar Taj</v>
          </cell>
          <cell r="E987">
            <v>539904</v>
          </cell>
          <cell r="F987" t="str">
            <v>Modern Trade</v>
          </cell>
          <cell r="G987" t="str">
            <v>Senior Executive</v>
          </cell>
        </row>
        <row r="988">
          <cell r="B988">
            <v>539937</v>
          </cell>
          <cell r="C988" t="str">
            <v>AFBL-R3246</v>
          </cell>
          <cell r="D988" t="str">
            <v>Mahmud Al Muktadir</v>
          </cell>
          <cell r="E988">
            <v>539937</v>
          </cell>
          <cell r="F988" t="str">
            <v>Accounts And Finance</v>
          </cell>
          <cell r="G988" t="str">
            <v>Deputy Manager</v>
          </cell>
        </row>
        <row r="989">
          <cell r="B989">
            <v>539955</v>
          </cell>
          <cell r="C989" t="str">
            <v>AGRO-1092</v>
          </cell>
          <cell r="D989" t="str">
            <v>Mominul Islam</v>
          </cell>
          <cell r="E989">
            <v>539955</v>
          </cell>
          <cell r="F989" t="str">
            <v>Quality Control</v>
          </cell>
          <cell r="G989" t="str">
            <v>Junior Executive</v>
          </cell>
        </row>
        <row r="990">
          <cell r="B990">
            <v>540028</v>
          </cell>
          <cell r="C990" t="str">
            <v>FR5175</v>
          </cell>
          <cell r="D990" t="str">
            <v xml:space="preserve">Md.Monir Hossen </v>
          </cell>
          <cell r="E990">
            <v>540028</v>
          </cell>
          <cell r="F990" t="str">
            <v>Electrical</v>
          </cell>
          <cell r="G990" t="str">
            <v>Assistant Engineer</v>
          </cell>
        </row>
        <row r="991">
          <cell r="B991">
            <v>540031</v>
          </cell>
          <cell r="C991" t="str">
            <v>AFBl-R3249</v>
          </cell>
          <cell r="D991" t="str">
            <v>Rakib Uddin Mozumder</v>
          </cell>
          <cell r="E991">
            <v>540031</v>
          </cell>
          <cell r="F991" t="str">
            <v>Accounts And Finance</v>
          </cell>
          <cell r="G991" t="str">
            <v>Senior Executive</v>
          </cell>
        </row>
        <row r="992">
          <cell r="B992">
            <v>540078</v>
          </cell>
          <cell r="C992" t="str">
            <v>AFBL(Marketing)-10130</v>
          </cell>
          <cell r="D992" t="str">
            <v>Md. Amir Hossain</v>
          </cell>
          <cell r="E992">
            <v>540078</v>
          </cell>
          <cell r="F992" t="str">
            <v>Sales &amp; Marketing</v>
          </cell>
          <cell r="G992" t="str">
            <v>Territory Sales Manager</v>
          </cell>
        </row>
        <row r="993">
          <cell r="B993">
            <v>540081</v>
          </cell>
          <cell r="C993" t="str">
            <v>AFBL(Marketing)-10132</v>
          </cell>
          <cell r="D993" t="str">
            <v>Hossain Al Mamun</v>
          </cell>
          <cell r="E993">
            <v>540081</v>
          </cell>
          <cell r="F993" t="str">
            <v>Sales &amp; Marketing</v>
          </cell>
          <cell r="G993" t="str">
            <v>Territory Sales Manager</v>
          </cell>
        </row>
        <row r="994">
          <cell r="B994">
            <v>540084</v>
          </cell>
          <cell r="C994" t="str">
            <v>AFBL(Marketing)-10135</v>
          </cell>
          <cell r="D994" t="str">
            <v>Md. Shakhawat Hossain</v>
          </cell>
          <cell r="E994">
            <v>540084</v>
          </cell>
          <cell r="F994" t="str">
            <v>Sales &amp; Marketing</v>
          </cell>
          <cell r="G994" t="str">
            <v>Territory Sales Manager</v>
          </cell>
        </row>
        <row r="995">
          <cell r="B995">
            <v>540085</v>
          </cell>
          <cell r="C995" t="str">
            <v>AFBL(Marketing)-10136</v>
          </cell>
          <cell r="D995" t="str">
            <v>Md. Sawkot Islam</v>
          </cell>
          <cell r="E995">
            <v>540085</v>
          </cell>
          <cell r="F995" t="str">
            <v>Sales &amp; Marketing</v>
          </cell>
          <cell r="G995" t="str">
            <v>Territory Sales Manager</v>
          </cell>
        </row>
        <row r="996">
          <cell r="B996">
            <v>540188</v>
          </cell>
          <cell r="C996" t="str">
            <v>AFBL-R3258</v>
          </cell>
          <cell r="D996" t="str">
            <v xml:space="preserve">Sumaia Sharmin </v>
          </cell>
          <cell r="E996">
            <v>540188</v>
          </cell>
          <cell r="F996" t="str">
            <v>Sales Admin</v>
          </cell>
          <cell r="G996" t="str">
            <v>Senior Executive</v>
          </cell>
        </row>
        <row r="997">
          <cell r="B997">
            <v>540205</v>
          </cell>
          <cell r="C997" t="str">
            <v>AFBL-R3259</v>
          </cell>
          <cell r="D997" t="str">
            <v xml:space="preserve">Md.Kajol Biswas Nasir </v>
          </cell>
          <cell r="E997">
            <v>540205</v>
          </cell>
          <cell r="F997" t="str">
            <v>Market Audit &amp; Business Intelligence</v>
          </cell>
          <cell r="G997" t="str">
            <v>Executive</v>
          </cell>
        </row>
        <row r="998">
          <cell r="B998">
            <v>540206</v>
          </cell>
          <cell r="C998" t="str">
            <v>AFBL-R3260</v>
          </cell>
          <cell r="D998" t="str">
            <v xml:space="preserve">Md. Rasel Mahbub </v>
          </cell>
          <cell r="E998">
            <v>540206</v>
          </cell>
          <cell r="F998" t="str">
            <v>Market Audit &amp; Business Intelligence</v>
          </cell>
          <cell r="G998" t="str">
            <v>Executive</v>
          </cell>
        </row>
        <row r="999">
          <cell r="B999">
            <v>540207</v>
          </cell>
          <cell r="C999" t="str">
            <v>AFBL-R3261</v>
          </cell>
          <cell r="D999" t="str">
            <v xml:space="preserve">A.K.M. Sanowarul Islam Shovon  </v>
          </cell>
          <cell r="E999">
            <v>540207</v>
          </cell>
          <cell r="F999" t="str">
            <v>Market Audit &amp; Business Intelligence</v>
          </cell>
          <cell r="G999" t="str">
            <v>Executive</v>
          </cell>
        </row>
        <row r="1000">
          <cell r="B1000">
            <v>540208</v>
          </cell>
          <cell r="C1000" t="str">
            <v>AFBL-R3262</v>
          </cell>
          <cell r="D1000" t="str">
            <v>Nayan Munshi</v>
          </cell>
          <cell r="E1000">
            <v>540208</v>
          </cell>
          <cell r="F1000" t="str">
            <v>Market Audit &amp; Business Intelligence</v>
          </cell>
          <cell r="G1000" t="str">
            <v>Executive</v>
          </cell>
        </row>
        <row r="1001">
          <cell r="B1001">
            <v>540209</v>
          </cell>
          <cell r="C1001" t="str">
            <v>AFBL-R3263</v>
          </cell>
          <cell r="D1001" t="str">
            <v>Imran Hossain</v>
          </cell>
          <cell r="E1001">
            <v>540209</v>
          </cell>
          <cell r="F1001" t="str">
            <v>Market Audit &amp; Business Intelligence</v>
          </cell>
          <cell r="G1001" t="str">
            <v>Executive</v>
          </cell>
        </row>
        <row r="1002">
          <cell r="B1002">
            <v>540251</v>
          </cell>
          <cell r="C1002" t="str">
            <v>AFBL-R3265</v>
          </cell>
          <cell r="D1002" t="str">
            <v>Harisul Islam Harris</v>
          </cell>
          <cell r="E1002">
            <v>540251</v>
          </cell>
          <cell r="F1002" t="str">
            <v>Operations</v>
          </cell>
          <cell r="G1002" t="str">
            <v>Senior Executive</v>
          </cell>
        </row>
        <row r="1003">
          <cell r="B1003">
            <v>540336</v>
          </cell>
          <cell r="C1003" t="str">
            <v>AFBL-R3267</v>
          </cell>
          <cell r="D1003" t="str">
            <v>Shahriar Mahbub</v>
          </cell>
          <cell r="E1003">
            <v>540336</v>
          </cell>
          <cell r="F1003" t="str">
            <v>IT</v>
          </cell>
          <cell r="G1003" t="str">
            <v>Deputy Manager</v>
          </cell>
        </row>
        <row r="1004">
          <cell r="B1004">
            <v>540363</v>
          </cell>
          <cell r="C1004" t="str">
            <v>AFBL-R3268</v>
          </cell>
          <cell r="D1004" t="str">
            <v>Syed Johurul Alam</v>
          </cell>
          <cell r="E1004">
            <v>540363</v>
          </cell>
          <cell r="F1004" t="str">
            <v>Operations</v>
          </cell>
          <cell r="G1004" t="str">
            <v>Chief Executive Officer</v>
          </cell>
        </row>
        <row r="1005">
          <cell r="B1005">
            <v>540372</v>
          </cell>
          <cell r="C1005" t="str">
            <v>AFBL-R3269</v>
          </cell>
          <cell r="D1005" t="str">
            <v>Md. Amdadul Haque</v>
          </cell>
          <cell r="E1005">
            <v>540372</v>
          </cell>
          <cell r="F1005" t="str">
            <v>Store</v>
          </cell>
          <cell r="G1005" t="str">
            <v>Executive</v>
          </cell>
        </row>
        <row r="1006">
          <cell r="B1006">
            <v>540422</v>
          </cell>
          <cell r="C1006" t="str">
            <v>AFBL-R3270</v>
          </cell>
          <cell r="D1006" t="str">
            <v>Rubel Md. Rafiqul Islam</v>
          </cell>
          <cell r="E1006">
            <v>540422</v>
          </cell>
          <cell r="F1006" t="str">
            <v>Commercial</v>
          </cell>
          <cell r="G1006" t="str">
            <v>Senior Executive</v>
          </cell>
        </row>
        <row r="1007">
          <cell r="B1007">
            <v>540423</v>
          </cell>
          <cell r="C1007" t="str">
            <v>AFBL-R3271</v>
          </cell>
          <cell r="D1007" t="str">
            <v xml:space="preserve">Prince Mahmud </v>
          </cell>
          <cell r="E1007">
            <v>540423</v>
          </cell>
          <cell r="F1007" t="str">
            <v>Accounts And Finance</v>
          </cell>
          <cell r="G1007" t="str">
            <v>Junior Executive</v>
          </cell>
        </row>
        <row r="1008">
          <cell r="B1008">
            <v>540443</v>
          </cell>
          <cell r="C1008" t="str">
            <v>AFBL(Marketing)-10271</v>
          </cell>
          <cell r="D1008" t="str">
            <v>Prasanta Saha</v>
          </cell>
          <cell r="E1008">
            <v>540443</v>
          </cell>
          <cell r="F1008" t="str">
            <v>Sales &amp; Marketing</v>
          </cell>
          <cell r="G1008" t="str">
            <v>Territory Sales Manager</v>
          </cell>
        </row>
        <row r="1009">
          <cell r="B1009">
            <v>540511</v>
          </cell>
          <cell r="C1009" t="str">
            <v>AFBL-R3274</v>
          </cell>
          <cell r="D1009" t="str">
            <v>Md. Raton Ali</v>
          </cell>
          <cell r="E1009">
            <v>540511</v>
          </cell>
          <cell r="F1009" t="str">
            <v>Modern Trade</v>
          </cell>
          <cell r="G1009" t="str">
            <v>Senior Executive</v>
          </cell>
        </row>
        <row r="1010">
          <cell r="B1010">
            <v>540566</v>
          </cell>
          <cell r="C1010" t="str">
            <v>AFBL-R3275</v>
          </cell>
          <cell r="D1010" t="str">
            <v>Md. Mahedur Rahman</v>
          </cell>
          <cell r="E1010">
            <v>540566</v>
          </cell>
          <cell r="F1010" t="str">
            <v>Internal Audit &amp; Compliance</v>
          </cell>
          <cell r="G1010" t="str">
            <v>Assistant Manager</v>
          </cell>
        </row>
        <row r="1011">
          <cell r="B1011">
            <v>540570</v>
          </cell>
          <cell r="C1011" t="str">
            <v>FR5223</v>
          </cell>
          <cell r="D1011" t="str">
            <v xml:space="preserve">Md.Sahrear Ahmed </v>
          </cell>
          <cell r="E1011">
            <v>540570</v>
          </cell>
          <cell r="F1011" t="str">
            <v>Snacks</v>
          </cell>
          <cell r="G1011" t="str">
            <v>Executive</v>
          </cell>
        </row>
        <row r="1012">
          <cell r="B1012">
            <v>540572</v>
          </cell>
          <cell r="C1012" t="str">
            <v>FR5224</v>
          </cell>
          <cell r="D1012" t="str">
            <v xml:space="preserve">Md.Raquibul Hasan </v>
          </cell>
          <cell r="E1012">
            <v>540572</v>
          </cell>
          <cell r="F1012" t="str">
            <v>Store</v>
          </cell>
          <cell r="G1012" t="str">
            <v>Junior Executive</v>
          </cell>
        </row>
        <row r="1013">
          <cell r="B1013">
            <v>540615</v>
          </cell>
          <cell r="C1013" t="str">
            <v>AFBL(Marketing)-10347</v>
          </cell>
          <cell r="D1013" t="str">
            <v xml:space="preserve">Md. Motaher Ali </v>
          </cell>
          <cell r="E1013">
            <v>540615</v>
          </cell>
          <cell r="F1013" t="str">
            <v>Sales &amp; Marketing</v>
          </cell>
          <cell r="G1013" t="str">
            <v>Regional Sales Manager</v>
          </cell>
        </row>
        <row r="1014">
          <cell r="B1014">
            <v>540621</v>
          </cell>
          <cell r="C1014" t="str">
            <v>AFBL-R3279</v>
          </cell>
          <cell r="D1014" t="str">
            <v>George Das</v>
          </cell>
          <cell r="E1014">
            <v>540621</v>
          </cell>
          <cell r="F1014" t="str">
            <v>Export</v>
          </cell>
          <cell r="G1014" t="str">
            <v>Deputy Manager</v>
          </cell>
        </row>
        <row r="1015">
          <cell r="B1015">
            <v>540622</v>
          </cell>
          <cell r="C1015" t="str">
            <v>AFBL-R3280</v>
          </cell>
          <cell r="D1015" t="str">
            <v>Md. Ziaur Rahman Afrad</v>
          </cell>
          <cell r="E1015">
            <v>540622</v>
          </cell>
          <cell r="F1015" t="str">
            <v>Export</v>
          </cell>
          <cell r="G1015" t="str">
            <v>Deputy Manager</v>
          </cell>
        </row>
        <row r="1016">
          <cell r="B1016">
            <v>540630</v>
          </cell>
          <cell r="C1016" t="str">
            <v>AFBL-R3282</v>
          </cell>
          <cell r="D1016" t="str">
            <v>Md. Nur Rafiq</v>
          </cell>
          <cell r="E1016">
            <v>540630</v>
          </cell>
          <cell r="F1016" t="str">
            <v>Export</v>
          </cell>
          <cell r="G1016" t="str">
            <v>Executive</v>
          </cell>
        </row>
        <row r="1017">
          <cell r="B1017">
            <v>540631</v>
          </cell>
          <cell r="C1017" t="str">
            <v>AFBL-R3281</v>
          </cell>
          <cell r="D1017" t="str">
            <v>Mohammad Nazrul Islam</v>
          </cell>
          <cell r="E1017">
            <v>540631</v>
          </cell>
          <cell r="F1017" t="str">
            <v>Brand</v>
          </cell>
          <cell r="G1017" t="str">
            <v>Assistant Manager</v>
          </cell>
        </row>
        <row r="1018">
          <cell r="B1018">
            <v>540633</v>
          </cell>
          <cell r="C1018" t="str">
            <v>AFBL-R3284</v>
          </cell>
          <cell r="D1018" t="str">
            <v>Md. Shafiul Alam</v>
          </cell>
          <cell r="E1018">
            <v>540633</v>
          </cell>
          <cell r="F1018" t="str">
            <v>Internal Audit &amp; Compliance</v>
          </cell>
          <cell r="G1018" t="str">
            <v>Senior Executive</v>
          </cell>
        </row>
        <row r="1019">
          <cell r="B1019">
            <v>540640</v>
          </cell>
          <cell r="C1019" t="str">
            <v>AFBL(Marketing)-10340</v>
          </cell>
          <cell r="D1019" t="str">
            <v>Shawrav kumar Paul</v>
          </cell>
          <cell r="E1019">
            <v>540640</v>
          </cell>
          <cell r="F1019" t="str">
            <v>Sales &amp; Marketing</v>
          </cell>
          <cell r="G1019" t="str">
            <v>Territory Sales Manager</v>
          </cell>
        </row>
        <row r="1020">
          <cell r="B1020">
            <v>540641</v>
          </cell>
          <cell r="C1020" t="str">
            <v>AFBL(Marketing)-10341</v>
          </cell>
          <cell r="D1020" t="str">
            <v>Md. Abdus Samad</v>
          </cell>
          <cell r="E1020">
            <v>540641</v>
          </cell>
          <cell r="F1020" t="str">
            <v>Sales &amp; Marketing</v>
          </cell>
          <cell r="G1020" t="str">
            <v>Territory Sales Manager</v>
          </cell>
        </row>
        <row r="1021">
          <cell r="B1021">
            <v>540645</v>
          </cell>
          <cell r="C1021" t="str">
            <v>AFBL(Marketing)-10345</v>
          </cell>
          <cell r="D1021" t="str">
            <v>Md. Emrul Kawesh</v>
          </cell>
          <cell r="E1021">
            <v>540645</v>
          </cell>
          <cell r="F1021" t="str">
            <v>Sales &amp; Marketing</v>
          </cell>
          <cell r="G1021" t="str">
            <v>Territory Sales Manager</v>
          </cell>
        </row>
        <row r="1022">
          <cell r="B1022">
            <v>540648</v>
          </cell>
          <cell r="C1022" t="str">
            <v>AFBL(Marketing)-10349</v>
          </cell>
          <cell r="D1022" t="str">
            <v xml:space="preserve">Md. Sagor Kabir </v>
          </cell>
          <cell r="E1022">
            <v>540648</v>
          </cell>
          <cell r="F1022" t="str">
            <v>Sales &amp; Marketing</v>
          </cell>
          <cell r="G1022" t="str">
            <v>Territory Sales Manager</v>
          </cell>
        </row>
        <row r="1023">
          <cell r="B1023">
            <v>540651</v>
          </cell>
          <cell r="C1023" t="str">
            <v>AFBL(Marketing)-10353</v>
          </cell>
          <cell r="D1023" t="str">
            <v>Md. Murad Hossain</v>
          </cell>
          <cell r="E1023">
            <v>540651</v>
          </cell>
          <cell r="F1023" t="str">
            <v>Sales &amp; Marketing</v>
          </cell>
          <cell r="G1023" t="str">
            <v>Territory Sales Manager</v>
          </cell>
        </row>
        <row r="1024">
          <cell r="B1024">
            <v>540652</v>
          </cell>
          <cell r="C1024" t="str">
            <v>AFBL(Marketing)-10354</v>
          </cell>
          <cell r="D1024" t="str">
            <v>Md. Shahinur Rahman</v>
          </cell>
          <cell r="E1024">
            <v>540652</v>
          </cell>
          <cell r="F1024" t="str">
            <v>Sales &amp; Marketing</v>
          </cell>
          <cell r="G1024" t="str">
            <v>Territory Sales Manager</v>
          </cell>
        </row>
        <row r="1025">
          <cell r="B1025">
            <v>540653</v>
          </cell>
          <cell r="C1025" t="str">
            <v>AFBL(Marketing)-10355</v>
          </cell>
          <cell r="D1025" t="str">
            <v>Md. Nazmul Hossain</v>
          </cell>
          <cell r="E1025">
            <v>540653</v>
          </cell>
          <cell r="F1025" t="str">
            <v>Sales &amp; Marketing</v>
          </cell>
          <cell r="G1025" t="str">
            <v>Territory Sales Manager</v>
          </cell>
        </row>
        <row r="1026">
          <cell r="B1026">
            <v>540672</v>
          </cell>
          <cell r="C1026" t="str">
            <v>AFBL-R3288</v>
          </cell>
          <cell r="D1026" t="str">
            <v>Tuhinul Hasan Limon</v>
          </cell>
          <cell r="E1026">
            <v>540672</v>
          </cell>
          <cell r="F1026" t="str">
            <v>Chairman Office</v>
          </cell>
          <cell r="G1026" t="str">
            <v>Senior Executive</v>
          </cell>
        </row>
        <row r="1027">
          <cell r="B1027">
            <v>540687</v>
          </cell>
          <cell r="C1027" t="str">
            <v>AFBL(Marketing)-10373</v>
          </cell>
          <cell r="D1027" t="str">
            <v>Md. Shariful Islam</v>
          </cell>
          <cell r="E1027">
            <v>540687</v>
          </cell>
          <cell r="F1027" t="str">
            <v>Sales &amp; Marketing</v>
          </cell>
          <cell r="G1027" t="str">
            <v>Territory Sales Manager</v>
          </cell>
        </row>
        <row r="1028">
          <cell r="B1028">
            <v>540689</v>
          </cell>
          <cell r="C1028" t="str">
            <v>AFBL-R3289</v>
          </cell>
          <cell r="D1028" t="str">
            <v>Imran Kaisar</v>
          </cell>
          <cell r="E1028">
            <v>540689</v>
          </cell>
          <cell r="F1028" t="str">
            <v>Brand</v>
          </cell>
          <cell r="G1028" t="str">
            <v>Senior Executive</v>
          </cell>
        </row>
        <row r="1029">
          <cell r="B1029">
            <v>540693</v>
          </cell>
          <cell r="C1029" t="str">
            <v>AFBL(Marketing)-10388</v>
          </cell>
          <cell r="D1029" t="str">
            <v>Md. Abul Kalam</v>
          </cell>
          <cell r="E1029">
            <v>540693</v>
          </cell>
          <cell r="F1029" t="str">
            <v>Sales &amp; Marketing</v>
          </cell>
          <cell r="G1029" t="str">
            <v>Regional Sales Manager</v>
          </cell>
        </row>
        <row r="1030">
          <cell r="B1030">
            <v>540705</v>
          </cell>
          <cell r="C1030" t="str">
            <v>FR5246</v>
          </cell>
          <cell r="D1030" t="str">
            <v>Torikul Islam</v>
          </cell>
          <cell r="E1030">
            <v>540705</v>
          </cell>
          <cell r="F1030" t="str">
            <v>Quality Control</v>
          </cell>
          <cell r="G1030" t="str">
            <v>Junior Executive</v>
          </cell>
        </row>
        <row r="1031">
          <cell r="B1031">
            <v>540853</v>
          </cell>
          <cell r="C1031" t="str">
            <v>AFBL-R3292</v>
          </cell>
          <cell r="D1031" t="str">
            <v>Sharif Md. Rifatuzzaman</v>
          </cell>
          <cell r="E1031">
            <v>540853</v>
          </cell>
          <cell r="F1031" t="str">
            <v>Brand</v>
          </cell>
          <cell r="G1031" t="str">
            <v>Senior Executive</v>
          </cell>
        </row>
        <row r="1032">
          <cell r="B1032">
            <v>540877</v>
          </cell>
          <cell r="C1032" t="str">
            <v>AFBL(Marketing)-10429</v>
          </cell>
          <cell r="D1032" t="str">
            <v>Md. Jinjarul Islam Juwel</v>
          </cell>
          <cell r="E1032">
            <v>540877</v>
          </cell>
          <cell r="F1032" t="str">
            <v>Sales &amp; Marketing</v>
          </cell>
          <cell r="G1032" t="str">
            <v>Territory Sales Manager</v>
          </cell>
        </row>
        <row r="1033">
          <cell r="B1033">
            <v>540906</v>
          </cell>
          <cell r="C1033" t="str">
            <v>AFBL-R3293</v>
          </cell>
          <cell r="D1033" t="str">
            <v>Anija Kabir</v>
          </cell>
          <cell r="E1033">
            <v>540906</v>
          </cell>
          <cell r="F1033" t="str">
            <v>Architectural Planning &amp; Design</v>
          </cell>
          <cell r="G1033" t="str">
            <v>Junior Executive</v>
          </cell>
        </row>
        <row r="1034">
          <cell r="B1034">
            <v>540938</v>
          </cell>
          <cell r="C1034" t="str">
            <v>AFBL-R3296</v>
          </cell>
          <cell r="D1034" t="str">
            <v>Mst.  Suhi Akter</v>
          </cell>
          <cell r="E1034">
            <v>540938</v>
          </cell>
          <cell r="F1034" t="str">
            <v>Creative</v>
          </cell>
          <cell r="G1034" t="str">
            <v>Junior Executive</v>
          </cell>
        </row>
        <row r="1035">
          <cell r="B1035">
            <v>541002</v>
          </cell>
          <cell r="C1035" t="str">
            <v>AGRO-1108</v>
          </cell>
          <cell r="D1035" t="str">
            <v>Md.Harunur Rashid</v>
          </cell>
          <cell r="E1035">
            <v>541002</v>
          </cell>
          <cell r="F1035" t="str">
            <v>Store</v>
          </cell>
          <cell r="G1035" t="str">
            <v>Senior Executive</v>
          </cell>
        </row>
        <row r="1036">
          <cell r="B1036">
            <v>541020</v>
          </cell>
          <cell r="C1036" t="str">
            <v>AHHL-1243</v>
          </cell>
          <cell r="D1036" t="str">
            <v>Habibur Rahman Jwel</v>
          </cell>
          <cell r="E1036">
            <v>541020</v>
          </cell>
          <cell r="F1036" t="str">
            <v>Sales</v>
          </cell>
          <cell r="G1036" t="str">
            <v>Sales Manager</v>
          </cell>
        </row>
        <row r="1037">
          <cell r="B1037">
            <v>541022</v>
          </cell>
          <cell r="C1037" t="str">
            <v>AFBL-R3298</v>
          </cell>
          <cell r="D1037" t="str">
            <v>Md. Saiful Islam</v>
          </cell>
          <cell r="E1037">
            <v>541022</v>
          </cell>
          <cell r="F1037" t="str">
            <v>Internal Audit &amp; Compliance</v>
          </cell>
          <cell r="G1037" t="str">
            <v>Executive</v>
          </cell>
        </row>
        <row r="1038">
          <cell r="B1038">
            <v>541033</v>
          </cell>
          <cell r="C1038" t="str">
            <v>AFBL-R3299</v>
          </cell>
          <cell r="D1038" t="str">
            <v>Muhammad Abdullahil Mazid</v>
          </cell>
          <cell r="E1038">
            <v>541033</v>
          </cell>
          <cell r="F1038" t="str">
            <v>Internal Audit &amp; Compliance</v>
          </cell>
          <cell r="G1038" t="str">
            <v>Senior Executive</v>
          </cell>
        </row>
        <row r="1039">
          <cell r="B1039">
            <v>541051</v>
          </cell>
          <cell r="C1039" t="str">
            <v>AFBL-R3300</v>
          </cell>
          <cell r="D1039" t="str">
            <v>Sayed Rayhan Sagor</v>
          </cell>
          <cell r="E1039">
            <v>541051</v>
          </cell>
          <cell r="F1039" t="str">
            <v>Internal Audit &amp; Compliance</v>
          </cell>
          <cell r="G1039" t="str">
            <v>Junior Executive</v>
          </cell>
        </row>
        <row r="1040">
          <cell r="B1040">
            <v>541052</v>
          </cell>
          <cell r="C1040" t="str">
            <v>AFBL-R3301</v>
          </cell>
          <cell r="D1040" t="str">
            <v>Kazi Tanjidur Rahman</v>
          </cell>
          <cell r="E1040">
            <v>541052</v>
          </cell>
          <cell r="F1040" t="str">
            <v>Internal Audit &amp; Compliance</v>
          </cell>
          <cell r="G1040" t="str">
            <v>Junior Executive</v>
          </cell>
        </row>
        <row r="1041">
          <cell r="B1041">
            <v>541153</v>
          </cell>
          <cell r="C1041" t="str">
            <v>AFBL-R3302</v>
          </cell>
          <cell r="D1041" t="str">
            <v>B.M. Asif Zaman Mishel</v>
          </cell>
          <cell r="E1041">
            <v>541153</v>
          </cell>
          <cell r="F1041" t="str">
            <v>Brand</v>
          </cell>
          <cell r="G1041" t="str">
            <v>Assistant Manager</v>
          </cell>
        </row>
        <row r="1042">
          <cell r="B1042">
            <v>541186</v>
          </cell>
          <cell r="C1042" t="str">
            <v>AFBL-R3303</v>
          </cell>
          <cell r="D1042" t="str">
            <v>Md. Robin Hosen</v>
          </cell>
          <cell r="E1042">
            <v>541186</v>
          </cell>
          <cell r="F1042" t="str">
            <v>Commercial</v>
          </cell>
          <cell r="G1042" t="str">
            <v>Deputy Manager</v>
          </cell>
        </row>
        <row r="1043">
          <cell r="B1043">
            <v>541226</v>
          </cell>
          <cell r="C1043" t="str">
            <v>AFBL-R3304</v>
          </cell>
          <cell r="D1043" t="str">
            <v>Md. Bellal Hossen</v>
          </cell>
          <cell r="E1043">
            <v>541226</v>
          </cell>
          <cell r="F1043" t="str">
            <v xml:space="preserve">Cooler Management </v>
          </cell>
          <cell r="G1043" t="str">
            <v>Junior Executive</v>
          </cell>
        </row>
        <row r="1044">
          <cell r="B1044">
            <v>541634</v>
          </cell>
          <cell r="C1044" t="str">
            <v>FR5315</v>
          </cell>
          <cell r="D1044" t="str">
            <v>Md.Tanbir Hasan</v>
          </cell>
          <cell r="E1044">
            <v>541634</v>
          </cell>
          <cell r="F1044" t="str">
            <v>Marketing Resource</v>
          </cell>
          <cell r="G1044" t="str">
            <v>Junior Executive</v>
          </cell>
        </row>
        <row r="1045">
          <cell r="B1045">
            <v>541708</v>
          </cell>
          <cell r="C1045" t="str">
            <v>AFBL-R3314</v>
          </cell>
          <cell r="D1045" t="str">
            <v>Md. Tasnimul Hassan Tanvir</v>
          </cell>
          <cell r="E1045">
            <v>541708</v>
          </cell>
          <cell r="F1045" t="str">
            <v xml:space="preserve">Cooler Management </v>
          </cell>
          <cell r="G1045" t="str">
            <v>Junior Executive</v>
          </cell>
        </row>
        <row r="1046">
          <cell r="B1046">
            <v>541709</v>
          </cell>
          <cell r="C1046" t="str">
            <v>AFBL-R3319</v>
          </cell>
          <cell r="D1046" t="str">
            <v>Syed Mozaffar Rahman</v>
          </cell>
          <cell r="E1046">
            <v>541709</v>
          </cell>
          <cell r="F1046" t="str">
            <v>Supply Chain</v>
          </cell>
          <cell r="G1046" t="str">
            <v>Senior Executive</v>
          </cell>
        </row>
        <row r="1047">
          <cell r="B1047">
            <v>541710</v>
          </cell>
          <cell r="C1047" t="str">
            <v>AFBL-R3315</v>
          </cell>
          <cell r="D1047" t="str">
            <v xml:space="preserve">Pulok Chakraborty </v>
          </cell>
          <cell r="E1047">
            <v>541710</v>
          </cell>
          <cell r="F1047" t="str">
            <v>Export</v>
          </cell>
          <cell r="G1047" t="str">
            <v>Assistant General Manager</v>
          </cell>
        </row>
        <row r="1048">
          <cell r="B1048">
            <v>541716</v>
          </cell>
          <cell r="C1048" t="str">
            <v>AFBL-R3316</v>
          </cell>
          <cell r="D1048" t="str">
            <v>Md. Hiron Mia</v>
          </cell>
          <cell r="E1048">
            <v>541716</v>
          </cell>
          <cell r="F1048" t="str">
            <v>Internal Audit &amp; Compliance</v>
          </cell>
          <cell r="G1048" t="str">
            <v>Executive</v>
          </cell>
        </row>
        <row r="1049">
          <cell r="B1049">
            <v>541748</v>
          </cell>
          <cell r="C1049" t="str">
            <v>AFBL(Marketing)-10557</v>
          </cell>
          <cell r="D1049" t="str">
            <v>Nur Mohammad</v>
          </cell>
          <cell r="E1049">
            <v>541748</v>
          </cell>
          <cell r="F1049" t="str">
            <v>Sales &amp; Marketing</v>
          </cell>
          <cell r="G1049" t="str">
            <v>Area Sales Manager</v>
          </cell>
        </row>
        <row r="1050">
          <cell r="B1050">
            <v>541870</v>
          </cell>
          <cell r="C1050" t="str">
            <v>FR5343</v>
          </cell>
          <cell r="D1050" t="str">
            <v>Zaeed Bin Rajjaque Saad</v>
          </cell>
          <cell r="E1050">
            <v>541870</v>
          </cell>
          <cell r="F1050" t="str">
            <v>CSD</v>
          </cell>
          <cell r="G1050" t="str">
            <v>Executive</v>
          </cell>
        </row>
        <row r="1051">
          <cell r="B1051">
            <v>541874</v>
          </cell>
          <cell r="C1051" t="str">
            <v>AFBL(Marketing)-10615</v>
          </cell>
          <cell r="D1051" t="str">
            <v>Molla Tanvir Ahmed</v>
          </cell>
          <cell r="E1051">
            <v>541874</v>
          </cell>
          <cell r="F1051" t="str">
            <v>Sales &amp; Marketing</v>
          </cell>
          <cell r="G1051" t="str">
            <v>Regional Sales Manager</v>
          </cell>
        </row>
        <row r="1052">
          <cell r="B1052">
            <v>541943</v>
          </cell>
          <cell r="C1052" t="str">
            <v>AFBL(Hob)-71</v>
          </cell>
          <cell r="D1052" t="str">
            <v>Zasid</v>
          </cell>
          <cell r="E1052">
            <v>541943</v>
          </cell>
          <cell r="F1052" t="str">
            <v>Mechanical</v>
          </cell>
          <cell r="G1052" t="str">
            <v>Assistant Engineer</v>
          </cell>
        </row>
        <row r="1053">
          <cell r="B1053">
            <v>541949</v>
          </cell>
          <cell r="C1053" t="str">
            <v>FR5349</v>
          </cell>
          <cell r="D1053" t="str">
            <v>Abdullah Al Mamun</v>
          </cell>
          <cell r="E1053">
            <v>541949</v>
          </cell>
          <cell r="F1053" t="str">
            <v>Sugar</v>
          </cell>
          <cell r="G1053" t="str">
            <v>Executive</v>
          </cell>
        </row>
        <row r="1054">
          <cell r="B1054">
            <v>541991</v>
          </cell>
          <cell r="C1054" t="str">
            <v>FR5360</v>
          </cell>
          <cell r="D1054" t="str">
            <v>Abdul Aziz</v>
          </cell>
          <cell r="E1054">
            <v>541991</v>
          </cell>
          <cell r="F1054" t="str">
            <v>Mechanical</v>
          </cell>
          <cell r="G1054" t="str">
            <v>Assistant Engineer</v>
          </cell>
        </row>
        <row r="1055">
          <cell r="B1055">
            <v>541996</v>
          </cell>
          <cell r="C1055" t="str">
            <v>FR5363</v>
          </cell>
          <cell r="D1055" t="str">
            <v>Md.Humaun Kabir</v>
          </cell>
          <cell r="E1055">
            <v>541996</v>
          </cell>
          <cell r="F1055" t="str">
            <v>Snacks</v>
          </cell>
          <cell r="G1055" t="str">
            <v>Executive</v>
          </cell>
        </row>
        <row r="1056">
          <cell r="B1056">
            <v>542017</v>
          </cell>
          <cell r="C1056" t="str">
            <v>AFBL-R3325</v>
          </cell>
          <cell r="D1056" t="str">
            <v>A.F.M Akram Hossain Khan</v>
          </cell>
          <cell r="E1056">
            <v>542017</v>
          </cell>
          <cell r="F1056" t="str">
            <v>Event</v>
          </cell>
          <cell r="G1056" t="str">
            <v>Senior Executive</v>
          </cell>
        </row>
        <row r="1057">
          <cell r="B1057">
            <v>542041</v>
          </cell>
          <cell r="C1057" t="str">
            <v>AFBL-R3327</v>
          </cell>
          <cell r="D1057" t="str">
            <v>Munan Ahmed</v>
          </cell>
          <cell r="E1057">
            <v>542041</v>
          </cell>
          <cell r="F1057" t="str">
            <v>Accounts And Finance</v>
          </cell>
          <cell r="G1057" t="str">
            <v>Assistant Manager</v>
          </cell>
        </row>
        <row r="1058">
          <cell r="B1058">
            <v>542042</v>
          </cell>
          <cell r="C1058" t="str">
            <v>AFBL(Marketing)-10623</v>
          </cell>
          <cell r="D1058" t="str">
            <v>Joynal Abedin</v>
          </cell>
          <cell r="E1058">
            <v>542042</v>
          </cell>
          <cell r="F1058" t="str">
            <v>Sales &amp; Marketing</v>
          </cell>
          <cell r="G1058" t="str">
            <v>Area Sales Manager</v>
          </cell>
        </row>
        <row r="1059">
          <cell r="B1059">
            <v>542090</v>
          </cell>
          <cell r="C1059" t="str">
            <v>AFBL-R3328</v>
          </cell>
          <cell r="D1059" t="str">
            <v>Md. Abul Kalam Azad</v>
          </cell>
          <cell r="E1059">
            <v>542090</v>
          </cell>
          <cell r="F1059" t="str">
            <v>Sales &amp; Marketing</v>
          </cell>
          <cell r="G1059" t="str">
            <v>Sales Manager</v>
          </cell>
        </row>
        <row r="1060">
          <cell r="B1060">
            <v>542140</v>
          </cell>
          <cell r="C1060" t="str">
            <v>FR5372</v>
          </cell>
          <cell r="D1060" t="str">
            <v>Kamroj Jaman</v>
          </cell>
          <cell r="E1060">
            <v>542140</v>
          </cell>
          <cell r="F1060" t="str">
            <v>HR</v>
          </cell>
          <cell r="G1060" t="str">
            <v>Junior Executive</v>
          </cell>
        </row>
        <row r="1061">
          <cell r="B1061">
            <v>542155</v>
          </cell>
          <cell r="C1061" t="str">
            <v>AFBL-R3330</v>
          </cell>
          <cell r="D1061" t="str">
            <v>Md. Mazbaul Karim</v>
          </cell>
          <cell r="E1061">
            <v>542155</v>
          </cell>
          <cell r="F1061" t="str">
            <v>Mechanical</v>
          </cell>
          <cell r="G1061" t="str">
            <v>Deputy Manager</v>
          </cell>
        </row>
        <row r="1062">
          <cell r="B1062">
            <v>542156</v>
          </cell>
          <cell r="C1062" t="str">
            <v>AFBL-R3329</v>
          </cell>
          <cell r="D1062" t="str">
            <v>Md. Riaz</v>
          </cell>
          <cell r="E1062">
            <v>542156</v>
          </cell>
          <cell r="F1062" t="str">
            <v>Brand</v>
          </cell>
          <cell r="G1062" t="str">
            <v>Executive</v>
          </cell>
        </row>
        <row r="1063">
          <cell r="B1063">
            <v>542316</v>
          </cell>
          <cell r="C1063" t="str">
            <v>FR5387</v>
          </cell>
          <cell r="D1063" t="str">
            <v>Md. Abdullah Al Amin</v>
          </cell>
          <cell r="E1063">
            <v>542316</v>
          </cell>
          <cell r="F1063" t="str">
            <v>Snacks</v>
          </cell>
          <cell r="G1063" t="str">
            <v>Senior Manager</v>
          </cell>
        </row>
        <row r="1064">
          <cell r="B1064">
            <v>542485</v>
          </cell>
          <cell r="C1064" t="str">
            <v>AFBL(Marketing)-10716</v>
          </cell>
          <cell r="D1064" t="str">
            <v>Muhammad Israfil Hossain</v>
          </cell>
          <cell r="E1064">
            <v>542485</v>
          </cell>
          <cell r="F1064" t="str">
            <v>Sales &amp; Marketing</v>
          </cell>
          <cell r="G1064" t="str">
            <v>Territory Sales Manager</v>
          </cell>
        </row>
        <row r="1065">
          <cell r="B1065">
            <v>542503</v>
          </cell>
          <cell r="C1065" t="str">
            <v>AFBL(Hob)-87</v>
          </cell>
          <cell r="D1065" t="str">
            <v>Dipta kumar Chandra</v>
          </cell>
          <cell r="E1065">
            <v>542503</v>
          </cell>
          <cell r="F1065" t="str">
            <v>Store</v>
          </cell>
          <cell r="G1065" t="str">
            <v>Junior Executive</v>
          </cell>
        </row>
        <row r="1066">
          <cell r="B1066">
            <v>542506</v>
          </cell>
          <cell r="C1066" t="str">
            <v>AFBL(Hob)-90</v>
          </cell>
          <cell r="D1066" t="str">
            <v>Md.Arif Hossin</v>
          </cell>
          <cell r="E1066">
            <v>542506</v>
          </cell>
          <cell r="F1066" t="str">
            <v>Store</v>
          </cell>
          <cell r="G1066" t="str">
            <v>Junior Executive</v>
          </cell>
        </row>
        <row r="1067">
          <cell r="B1067">
            <v>542507</v>
          </cell>
          <cell r="C1067" t="str">
            <v>FR5394</v>
          </cell>
          <cell r="D1067" t="str">
            <v>Shahrear Hasan</v>
          </cell>
          <cell r="E1067">
            <v>542507</v>
          </cell>
          <cell r="F1067" t="str">
            <v>Quality Control</v>
          </cell>
          <cell r="G1067" t="str">
            <v>Junior Executive</v>
          </cell>
        </row>
        <row r="1068">
          <cell r="B1068">
            <v>542509</v>
          </cell>
          <cell r="C1068" t="str">
            <v>FR5396</v>
          </cell>
          <cell r="D1068" t="str">
            <v>Md.Shoibe Islam</v>
          </cell>
          <cell r="E1068">
            <v>542509</v>
          </cell>
          <cell r="F1068" t="str">
            <v>Quality Control</v>
          </cell>
          <cell r="G1068" t="str">
            <v>Junior Executive</v>
          </cell>
        </row>
        <row r="1069">
          <cell r="B1069">
            <v>542510</v>
          </cell>
          <cell r="C1069" t="str">
            <v>FR5397</v>
          </cell>
          <cell r="D1069" t="str">
            <v>Md.Ibrahim Samrat</v>
          </cell>
          <cell r="E1069">
            <v>542510</v>
          </cell>
          <cell r="F1069" t="str">
            <v>Distribution</v>
          </cell>
          <cell r="G1069" t="str">
            <v>Junior Executive</v>
          </cell>
        </row>
        <row r="1070">
          <cell r="B1070">
            <v>542514</v>
          </cell>
          <cell r="C1070" t="str">
            <v>AFBL-R3337</v>
          </cell>
          <cell r="D1070" t="str">
            <v>Jamirul Zahid</v>
          </cell>
          <cell r="E1070">
            <v>542514</v>
          </cell>
          <cell r="F1070" t="str">
            <v>HORECA</v>
          </cell>
          <cell r="G1070" t="str">
            <v>Senior Manager</v>
          </cell>
        </row>
        <row r="1071">
          <cell r="B1071">
            <v>542591</v>
          </cell>
          <cell r="C1071" t="str">
            <v>FR5404</v>
          </cell>
          <cell r="D1071" t="str">
            <v>Bizan Das</v>
          </cell>
          <cell r="E1071">
            <v>542591</v>
          </cell>
          <cell r="F1071" t="str">
            <v>Resource Management &amp; Development</v>
          </cell>
          <cell r="G1071" t="str">
            <v>Senior Executive</v>
          </cell>
        </row>
        <row r="1072">
          <cell r="B1072">
            <v>542709</v>
          </cell>
          <cell r="C1072" t="str">
            <v>FR5412</v>
          </cell>
          <cell r="D1072" t="str">
            <v>Md. Al-Amin Hossain</v>
          </cell>
          <cell r="E1072">
            <v>542709</v>
          </cell>
          <cell r="F1072" t="str">
            <v>Quality Control</v>
          </cell>
          <cell r="G1072" t="str">
            <v>Junior Executive</v>
          </cell>
        </row>
        <row r="1073">
          <cell r="B1073">
            <v>542718</v>
          </cell>
          <cell r="C1073" t="str">
            <v>FR5421</v>
          </cell>
          <cell r="D1073" t="str">
            <v>Farok Ahamed</v>
          </cell>
          <cell r="E1073">
            <v>542718</v>
          </cell>
          <cell r="F1073" t="str">
            <v>PPS</v>
          </cell>
          <cell r="G1073" t="str">
            <v>Assistant Manager</v>
          </cell>
        </row>
        <row r="1074">
          <cell r="B1074">
            <v>542792</v>
          </cell>
          <cell r="C1074" t="str">
            <v>AFBL(Hob)-97</v>
          </cell>
          <cell r="D1074" t="str">
            <v>Md. Sajib Hossain</v>
          </cell>
          <cell r="E1074">
            <v>542792</v>
          </cell>
          <cell r="F1074" t="str">
            <v>Electrical</v>
          </cell>
          <cell r="G1074" t="str">
            <v>Engineer</v>
          </cell>
        </row>
        <row r="1075">
          <cell r="B1075">
            <v>543004</v>
          </cell>
          <cell r="C1075" t="str">
            <v>AFBL-R3339</v>
          </cell>
          <cell r="D1075" t="str">
            <v>Md. Ariful Hasan</v>
          </cell>
          <cell r="E1075">
            <v>543004</v>
          </cell>
          <cell r="F1075" t="str">
            <v>Modern Trade</v>
          </cell>
          <cell r="G1075" t="str">
            <v>Executive</v>
          </cell>
        </row>
        <row r="1076">
          <cell r="B1076">
            <v>543081</v>
          </cell>
          <cell r="C1076" t="str">
            <v>AFBL(Marketing)-10971</v>
          </cell>
          <cell r="D1076" t="str">
            <v>Md. Fazlul Haque</v>
          </cell>
          <cell r="E1076">
            <v>543081</v>
          </cell>
          <cell r="F1076" t="str">
            <v>Sales &amp; Marketing</v>
          </cell>
          <cell r="G1076" t="str">
            <v>Area Sales Manager</v>
          </cell>
        </row>
        <row r="1077">
          <cell r="B1077">
            <v>543095</v>
          </cell>
          <cell r="C1077" t="str">
            <v>FR5430</v>
          </cell>
          <cell r="D1077" t="str">
            <v>Shamsul Arefin</v>
          </cell>
          <cell r="E1077">
            <v>543095</v>
          </cell>
          <cell r="F1077" t="str">
            <v>Mechanical</v>
          </cell>
          <cell r="G1077" t="str">
            <v>Assistant Engineer</v>
          </cell>
        </row>
        <row r="1078">
          <cell r="B1078">
            <v>543107</v>
          </cell>
          <cell r="C1078" t="str">
            <v>AFBL(Marketing)-10973</v>
          </cell>
          <cell r="D1078" t="str">
            <v>Md. Hasan</v>
          </cell>
          <cell r="E1078">
            <v>543107</v>
          </cell>
          <cell r="F1078" t="str">
            <v>Sales &amp; Marketing</v>
          </cell>
          <cell r="G1078" t="str">
            <v>Territory Sales Manager</v>
          </cell>
        </row>
        <row r="1079">
          <cell r="B1079">
            <v>543110</v>
          </cell>
          <cell r="C1079" t="str">
            <v>AFBL(Marketing)-10976</v>
          </cell>
          <cell r="D1079" t="str">
            <v>Jahidul Islam</v>
          </cell>
          <cell r="E1079">
            <v>543110</v>
          </cell>
          <cell r="F1079" t="str">
            <v>Sales &amp; Marketing</v>
          </cell>
          <cell r="G1079" t="str">
            <v>Territory Sales Manager</v>
          </cell>
        </row>
        <row r="1080">
          <cell r="B1080">
            <v>543190</v>
          </cell>
          <cell r="C1080" t="str">
            <v>AFBL(Marketing)-10999</v>
          </cell>
          <cell r="D1080" t="str">
            <v>Uzzal Hossain</v>
          </cell>
          <cell r="E1080">
            <v>543190</v>
          </cell>
          <cell r="F1080" t="str">
            <v>Sales &amp; Marketing</v>
          </cell>
          <cell r="G1080" t="str">
            <v>Territory Sales Manager</v>
          </cell>
        </row>
        <row r="1081">
          <cell r="B1081">
            <v>543191</v>
          </cell>
          <cell r="C1081" t="str">
            <v>AFBL(Marketing)-11000</v>
          </cell>
          <cell r="D1081" t="str">
            <v>Md. Tajul Islam</v>
          </cell>
          <cell r="E1081">
            <v>543191</v>
          </cell>
          <cell r="F1081" t="str">
            <v>Sales &amp; Marketing</v>
          </cell>
          <cell r="G1081" t="str">
            <v>Territory Sales Manager</v>
          </cell>
        </row>
        <row r="1082">
          <cell r="B1082">
            <v>543194</v>
          </cell>
          <cell r="C1082" t="str">
            <v>AFBL(Marketing)-11004</v>
          </cell>
          <cell r="D1082" t="str">
            <v>Syeduzzaman Rana</v>
          </cell>
          <cell r="E1082">
            <v>543194</v>
          </cell>
          <cell r="F1082" t="str">
            <v>Sales &amp; Marketing</v>
          </cell>
          <cell r="G1082" t="str">
            <v>Territory Sales Manager</v>
          </cell>
        </row>
        <row r="1083">
          <cell r="B1083">
            <v>543291</v>
          </cell>
          <cell r="C1083" t="str">
            <v>AFBL(Marketing)-11076</v>
          </cell>
          <cell r="D1083" t="str">
            <v>Md. Neamul Haiat</v>
          </cell>
          <cell r="E1083">
            <v>543291</v>
          </cell>
          <cell r="F1083" t="str">
            <v>Sales &amp; Marketing</v>
          </cell>
          <cell r="G1083" t="str">
            <v>Territory Sales Manager</v>
          </cell>
        </row>
        <row r="1084">
          <cell r="B1084">
            <v>543293</v>
          </cell>
          <cell r="C1084" t="str">
            <v>AFBL(Marketing)-11078</v>
          </cell>
          <cell r="D1084" t="str">
            <v>Md. Zakir Hossain</v>
          </cell>
          <cell r="E1084">
            <v>543293</v>
          </cell>
          <cell r="F1084" t="str">
            <v>Sales &amp; Marketing</v>
          </cell>
          <cell r="G1084" t="str">
            <v>Territory Sales Manager</v>
          </cell>
        </row>
        <row r="1085">
          <cell r="B1085">
            <v>543294</v>
          </cell>
          <cell r="C1085" t="str">
            <v>AFBL(Marketing)-11079</v>
          </cell>
          <cell r="D1085" t="str">
            <v>Md. Ripon Islam</v>
          </cell>
          <cell r="E1085">
            <v>543294</v>
          </cell>
          <cell r="F1085" t="str">
            <v>Sales &amp; Marketing</v>
          </cell>
          <cell r="G1085" t="str">
            <v>Territory Sales Manager</v>
          </cell>
        </row>
        <row r="1086">
          <cell r="B1086">
            <v>543297</v>
          </cell>
          <cell r="C1086" t="str">
            <v>AFBL(Marketing)-11082</v>
          </cell>
          <cell r="D1086" t="str">
            <v>A K M Samiul Karim</v>
          </cell>
          <cell r="E1086">
            <v>543297</v>
          </cell>
          <cell r="F1086" t="str">
            <v>Sales &amp; Marketing</v>
          </cell>
          <cell r="G1086" t="str">
            <v>Territory Sales Manager</v>
          </cell>
        </row>
        <row r="1087">
          <cell r="B1087">
            <v>543298</v>
          </cell>
          <cell r="C1087" t="str">
            <v>AFBL-R3345</v>
          </cell>
          <cell r="D1087" t="str">
            <v>Syed Musavvir Hossain</v>
          </cell>
          <cell r="E1087">
            <v>543298</v>
          </cell>
          <cell r="F1087" t="str">
            <v>HR</v>
          </cell>
          <cell r="G1087" t="str">
            <v>Executive</v>
          </cell>
        </row>
        <row r="1088">
          <cell r="B1088">
            <v>543314</v>
          </cell>
          <cell r="C1088" t="str">
            <v>FR5438</v>
          </cell>
          <cell r="D1088" t="str">
            <v>Dilshad Yesmin</v>
          </cell>
          <cell r="E1088">
            <v>543314</v>
          </cell>
          <cell r="F1088" t="str">
            <v>Admin</v>
          </cell>
          <cell r="G1088" t="str">
            <v>Medical Officer</v>
          </cell>
        </row>
        <row r="1089">
          <cell r="B1089">
            <v>543339</v>
          </cell>
          <cell r="C1089" t="str">
            <v>AFBL(Marketing)-11091</v>
          </cell>
          <cell r="D1089" t="str">
            <v xml:space="preserve"> Md. Ibrahim Hossain</v>
          </cell>
          <cell r="E1089">
            <v>543339</v>
          </cell>
          <cell r="F1089" t="str">
            <v>Sales &amp; Marketing</v>
          </cell>
          <cell r="G1089" t="str">
            <v>Area Sales Manager</v>
          </cell>
        </row>
        <row r="1090">
          <cell r="B1090">
            <v>543369</v>
          </cell>
          <cell r="C1090" t="str">
            <v>AFBL(Marketing)-11137</v>
          </cell>
          <cell r="D1090" t="str">
            <v>Ahad Hossain</v>
          </cell>
          <cell r="E1090">
            <v>543369</v>
          </cell>
          <cell r="F1090" t="str">
            <v>Sales &amp; Marketing</v>
          </cell>
          <cell r="G1090" t="str">
            <v>Area Sales Manager</v>
          </cell>
        </row>
        <row r="1091">
          <cell r="B1091">
            <v>543461</v>
          </cell>
          <cell r="C1091" t="str">
            <v>AFBL(Marketing)-11145</v>
          </cell>
          <cell r="D1091" t="str">
            <v>Kamruzzaman</v>
          </cell>
          <cell r="E1091">
            <v>543461</v>
          </cell>
          <cell r="F1091" t="str">
            <v>Sales &amp; Marketing</v>
          </cell>
          <cell r="G1091" t="str">
            <v>Territory Sales Manager</v>
          </cell>
        </row>
        <row r="1092">
          <cell r="B1092">
            <v>543492</v>
          </cell>
          <cell r="C1092" t="str">
            <v>AFBL-R3347</v>
          </cell>
          <cell r="D1092" t="str">
            <v>Md. Zakaria Hossain</v>
          </cell>
          <cell r="E1092">
            <v>543492</v>
          </cell>
          <cell r="F1092" t="str">
            <v>Market Audit &amp; Business Intelligence</v>
          </cell>
          <cell r="G1092" t="str">
            <v>Executive</v>
          </cell>
        </row>
        <row r="1093">
          <cell r="B1093">
            <v>543578</v>
          </cell>
          <cell r="C1093" t="str">
            <v>FR5454</v>
          </cell>
          <cell r="D1093" t="str">
            <v>Titan Edbar</v>
          </cell>
          <cell r="E1093">
            <v>543578</v>
          </cell>
          <cell r="F1093" t="str">
            <v>Quality Control</v>
          </cell>
          <cell r="G1093" t="str">
            <v>Junior Executive</v>
          </cell>
        </row>
        <row r="1094">
          <cell r="B1094">
            <v>543579</v>
          </cell>
          <cell r="C1094" t="str">
            <v>FR5455</v>
          </cell>
          <cell r="D1094" t="str">
            <v>Md.Jahangir Hossain</v>
          </cell>
          <cell r="E1094">
            <v>543579</v>
          </cell>
          <cell r="F1094" t="str">
            <v>Quality Control</v>
          </cell>
          <cell r="G1094" t="str">
            <v>Junior Executive</v>
          </cell>
        </row>
        <row r="1095">
          <cell r="B1095">
            <v>543679</v>
          </cell>
          <cell r="C1095" t="str">
            <v>FR5468</v>
          </cell>
          <cell r="D1095" t="str">
            <v>Md.Imran Khan</v>
          </cell>
          <cell r="E1095">
            <v>543679</v>
          </cell>
          <cell r="F1095" t="str">
            <v>CSD</v>
          </cell>
          <cell r="G1095" t="str">
            <v>Executive</v>
          </cell>
        </row>
        <row r="1096">
          <cell r="B1096">
            <v>543696</v>
          </cell>
          <cell r="C1096" t="str">
            <v>AFBL-R3350</v>
          </cell>
          <cell r="D1096" t="str">
            <v>S A F Md Ahad</v>
          </cell>
          <cell r="E1096">
            <v>543696</v>
          </cell>
          <cell r="F1096" t="str">
            <v>Accounts And Finance</v>
          </cell>
          <cell r="G1096" t="str">
            <v>Junior Executive</v>
          </cell>
        </row>
        <row r="1097">
          <cell r="B1097">
            <v>543709</v>
          </cell>
          <cell r="C1097" t="str">
            <v>FR5472</v>
          </cell>
          <cell r="D1097" t="str">
            <v xml:space="preserve">Khandaker Asadulllah </v>
          </cell>
          <cell r="E1097">
            <v>543709</v>
          </cell>
          <cell r="F1097" t="str">
            <v>Quality Control</v>
          </cell>
          <cell r="G1097" t="str">
            <v>Junior Executive</v>
          </cell>
        </row>
        <row r="1098">
          <cell r="B1098">
            <v>543722</v>
          </cell>
          <cell r="C1098" t="str">
            <v>AFBL-R3352</v>
          </cell>
          <cell r="D1098" t="str">
            <v>Md. Farzat Hossain Sabbir</v>
          </cell>
          <cell r="E1098">
            <v>543722</v>
          </cell>
          <cell r="F1098" t="str">
            <v>Accounts And Finance</v>
          </cell>
          <cell r="G1098" t="str">
            <v>Junior Executive</v>
          </cell>
        </row>
        <row r="1099">
          <cell r="B1099">
            <v>543723</v>
          </cell>
          <cell r="C1099" t="str">
            <v>AFBL-R3353</v>
          </cell>
          <cell r="D1099" t="str">
            <v>Md. Monour Hossain</v>
          </cell>
          <cell r="E1099">
            <v>543723</v>
          </cell>
          <cell r="F1099" t="str">
            <v>Accounts And Finance</v>
          </cell>
          <cell r="G1099" t="str">
            <v>Junior Executive</v>
          </cell>
        </row>
        <row r="1100">
          <cell r="B1100">
            <v>543882</v>
          </cell>
          <cell r="C1100" t="str">
            <v>AFBL-R3356</v>
          </cell>
          <cell r="D1100" t="str">
            <v>Abdul Ahad</v>
          </cell>
          <cell r="E1100">
            <v>543882</v>
          </cell>
          <cell r="F1100" t="str">
            <v>RTM</v>
          </cell>
          <cell r="G1100" t="str">
            <v>Executive</v>
          </cell>
        </row>
        <row r="1101">
          <cell r="B1101">
            <v>544053</v>
          </cell>
          <cell r="C1101" t="str">
            <v>AFBL(Hob)-123</v>
          </cell>
          <cell r="D1101" t="str">
            <v>A H M Reafat Khan</v>
          </cell>
          <cell r="E1101">
            <v>544053</v>
          </cell>
          <cell r="F1101" t="str">
            <v>PPS</v>
          </cell>
          <cell r="G1101" t="str">
            <v>Deputy Manager</v>
          </cell>
        </row>
        <row r="1102">
          <cell r="B1102">
            <v>544198</v>
          </cell>
          <cell r="C1102" t="str">
            <v>AFBL-R3360</v>
          </cell>
          <cell r="D1102" t="str">
            <v>Muhammad Juwel Ahmed</v>
          </cell>
          <cell r="E1102">
            <v>544198</v>
          </cell>
          <cell r="F1102" t="str">
            <v>Outdoor Management</v>
          </cell>
          <cell r="G1102" t="str">
            <v>Executive</v>
          </cell>
        </row>
        <row r="1103">
          <cell r="B1103">
            <v>544240</v>
          </cell>
          <cell r="C1103" t="str">
            <v>AFBL(Marketing)-11440</v>
          </cell>
          <cell r="D1103" t="str">
            <v>Md. Rifat Sajal</v>
          </cell>
          <cell r="E1103">
            <v>544240</v>
          </cell>
          <cell r="F1103" t="str">
            <v>Sales &amp; Marketing</v>
          </cell>
          <cell r="G1103" t="str">
            <v>Territory Sales Manager</v>
          </cell>
        </row>
        <row r="1104">
          <cell r="B1104">
            <v>544242</v>
          </cell>
          <cell r="C1104" t="str">
            <v>AFBL(Marketing)-11442</v>
          </cell>
          <cell r="D1104" t="str">
            <v>Md. Sujon Sardar</v>
          </cell>
          <cell r="E1104">
            <v>544242</v>
          </cell>
          <cell r="F1104" t="str">
            <v>Sales &amp; Marketing</v>
          </cell>
          <cell r="G1104" t="str">
            <v>Territory Sales Manager</v>
          </cell>
        </row>
        <row r="1105">
          <cell r="B1105">
            <v>544244</v>
          </cell>
          <cell r="C1105" t="str">
            <v>AFBL(Marketing)-11444</v>
          </cell>
          <cell r="D1105" t="str">
            <v>Rayhan Khan</v>
          </cell>
          <cell r="E1105">
            <v>544244</v>
          </cell>
          <cell r="F1105" t="str">
            <v>Sales &amp; Marketing</v>
          </cell>
          <cell r="G1105" t="str">
            <v>Territory Sales Manager</v>
          </cell>
        </row>
        <row r="1106">
          <cell r="B1106">
            <v>544245</v>
          </cell>
          <cell r="C1106" t="str">
            <v>AFBL(Marketing)-11445</v>
          </cell>
          <cell r="D1106" t="str">
            <v>Imam Hossain</v>
          </cell>
          <cell r="E1106">
            <v>544245</v>
          </cell>
          <cell r="F1106" t="str">
            <v>Sales &amp; Marketing</v>
          </cell>
          <cell r="G1106" t="str">
            <v>Territory Sales Manager</v>
          </cell>
        </row>
        <row r="1107">
          <cell r="B1107">
            <v>544246</v>
          </cell>
          <cell r="C1107" t="str">
            <v>AFBL(Marketing)-11446</v>
          </cell>
          <cell r="D1107" t="str">
            <v>Md. Salim Hassan</v>
          </cell>
          <cell r="E1107">
            <v>544246</v>
          </cell>
          <cell r="F1107" t="str">
            <v>Sales &amp; Marketing</v>
          </cell>
          <cell r="G1107" t="str">
            <v>Territory Sales Manager</v>
          </cell>
        </row>
        <row r="1108">
          <cell r="B1108">
            <v>544249</v>
          </cell>
          <cell r="C1108" t="str">
            <v>AFBL(Marketing)-11449</v>
          </cell>
          <cell r="D1108" t="str">
            <v>Hasan Sarkar</v>
          </cell>
          <cell r="E1108">
            <v>544249</v>
          </cell>
          <cell r="F1108" t="str">
            <v>Sales &amp; Marketing</v>
          </cell>
          <cell r="G1108" t="str">
            <v>Territory Sales Manager</v>
          </cell>
        </row>
        <row r="1109">
          <cell r="B1109">
            <v>544250</v>
          </cell>
          <cell r="C1109" t="str">
            <v>AFBL(Marketing)-11450</v>
          </cell>
          <cell r="D1109" t="str">
            <v>Md. Imdadul Haque Milon</v>
          </cell>
          <cell r="E1109">
            <v>544250</v>
          </cell>
          <cell r="F1109" t="str">
            <v>Sales &amp; Marketing</v>
          </cell>
          <cell r="G1109" t="str">
            <v>Territory Sales Manager</v>
          </cell>
        </row>
        <row r="1110">
          <cell r="B1110">
            <v>544252</v>
          </cell>
          <cell r="C1110" t="str">
            <v>AFBL(Marketing)-11452</v>
          </cell>
          <cell r="D1110" t="str">
            <v>Shaeed Anowar Jonney</v>
          </cell>
          <cell r="E1110">
            <v>544252</v>
          </cell>
          <cell r="F1110" t="str">
            <v>Sales &amp; Marketing</v>
          </cell>
          <cell r="G1110" t="str">
            <v>Territory Sales Manager</v>
          </cell>
        </row>
        <row r="1111">
          <cell r="B1111">
            <v>544306</v>
          </cell>
          <cell r="C1111" t="str">
            <v>AFBL(Hob)-126</v>
          </cell>
          <cell r="D1111" t="str">
            <v>Md. Nizamul Hoq</v>
          </cell>
          <cell r="E1111">
            <v>544306</v>
          </cell>
          <cell r="F1111" t="str">
            <v>Electrical</v>
          </cell>
          <cell r="G1111" t="str">
            <v>Deputy Manager</v>
          </cell>
        </row>
        <row r="1112">
          <cell r="B1112">
            <v>544317</v>
          </cell>
          <cell r="C1112" t="str">
            <v>AFBL(Marketing)-11502</v>
          </cell>
          <cell r="D1112" t="str">
            <v>Tuhin Mia</v>
          </cell>
          <cell r="E1112">
            <v>544317</v>
          </cell>
          <cell r="F1112" t="str">
            <v>Sales &amp; Marketing</v>
          </cell>
          <cell r="G1112" t="str">
            <v>Territory Sales Manager</v>
          </cell>
        </row>
        <row r="1113">
          <cell r="B1113">
            <v>544389</v>
          </cell>
          <cell r="C1113" t="str">
            <v>AFBL(Hob)-128</v>
          </cell>
          <cell r="D1113" t="str">
            <v>Md. Mizanur Rahman</v>
          </cell>
          <cell r="E1113">
            <v>544389</v>
          </cell>
          <cell r="F1113" t="str">
            <v>PPS</v>
          </cell>
          <cell r="G1113" t="str">
            <v>Engineer</v>
          </cell>
        </row>
        <row r="1114">
          <cell r="B1114">
            <v>544448</v>
          </cell>
          <cell r="C1114" t="str">
            <v>AFBL(Hob)-129</v>
          </cell>
          <cell r="D1114" t="str">
            <v>Md. Takbir Hossain</v>
          </cell>
          <cell r="E1114">
            <v>544448</v>
          </cell>
          <cell r="F1114" t="str">
            <v>PPS</v>
          </cell>
          <cell r="G1114" t="str">
            <v>Engineer</v>
          </cell>
        </row>
        <row r="1115">
          <cell r="B1115">
            <v>544519</v>
          </cell>
          <cell r="C1115" t="str">
            <v>FR5500</v>
          </cell>
          <cell r="D1115" t="str">
            <v>Imam Hossain</v>
          </cell>
          <cell r="E1115">
            <v>544519</v>
          </cell>
          <cell r="F1115" t="str">
            <v>PPS</v>
          </cell>
          <cell r="G1115" t="str">
            <v>Engineer</v>
          </cell>
        </row>
        <row r="1116">
          <cell r="B1116">
            <v>544547</v>
          </cell>
          <cell r="C1116" t="str">
            <v>AFBL(Hob)-131</v>
          </cell>
          <cell r="D1116" t="str">
            <v>Md. Rubel Mia</v>
          </cell>
          <cell r="E1116">
            <v>544547</v>
          </cell>
          <cell r="F1116" t="str">
            <v>PPS</v>
          </cell>
          <cell r="G1116" t="str">
            <v>Engineer</v>
          </cell>
        </row>
        <row r="1117">
          <cell r="B1117">
            <v>546144</v>
          </cell>
          <cell r="C1117" t="str">
            <v>AFBL(Hob)-134</v>
          </cell>
          <cell r="D1117" t="str">
            <v>Md. Tarik Rahman Sarker</v>
          </cell>
          <cell r="E1117">
            <v>546144</v>
          </cell>
          <cell r="F1117" t="str">
            <v xml:space="preserve">Power </v>
          </cell>
          <cell r="G1117" t="str">
            <v>Assistant Engineer</v>
          </cell>
        </row>
        <row r="1118">
          <cell r="B1118">
            <v>546170</v>
          </cell>
          <cell r="C1118" t="str">
            <v>AFBL(Marketing)-12304</v>
          </cell>
          <cell r="D1118" t="str">
            <v>Md. Nur Mostafa Billah</v>
          </cell>
          <cell r="E1118">
            <v>546170</v>
          </cell>
          <cell r="F1118" t="str">
            <v>Sales &amp; Marketing</v>
          </cell>
          <cell r="G1118" t="str">
            <v>Area Sales Manager</v>
          </cell>
        </row>
        <row r="1119">
          <cell r="B1119">
            <v>546413</v>
          </cell>
          <cell r="C1119" t="str">
            <v>AFBL(Marketing)-12481</v>
          </cell>
          <cell r="D1119" t="str">
            <v>Md. Rysul Haque</v>
          </cell>
          <cell r="E1119">
            <v>546413</v>
          </cell>
          <cell r="F1119" t="str">
            <v>Sales &amp; Marketing</v>
          </cell>
          <cell r="G1119" t="str">
            <v>Territory Sales Manager</v>
          </cell>
        </row>
        <row r="1120">
          <cell r="B1120">
            <v>546631</v>
          </cell>
          <cell r="C1120" t="str">
            <v>AGRO-1299</v>
          </cell>
          <cell r="D1120" t="str">
            <v xml:space="preserve">MD. Al Imran </v>
          </cell>
          <cell r="E1120">
            <v>546631</v>
          </cell>
          <cell r="F1120" t="str">
            <v>Quality Control</v>
          </cell>
          <cell r="G1120" t="str">
            <v>Junior Executive</v>
          </cell>
        </row>
        <row r="1121">
          <cell r="B1121">
            <v>546685</v>
          </cell>
          <cell r="C1121" t="str">
            <v>AFBL(Marketing)-12552</v>
          </cell>
          <cell r="D1121" t="str">
            <v>Md. Reajul Islam</v>
          </cell>
          <cell r="E1121">
            <v>546685</v>
          </cell>
          <cell r="F1121" t="str">
            <v>Sales &amp; Marketing</v>
          </cell>
          <cell r="G1121" t="str">
            <v>Area Sales Manager</v>
          </cell>
        </row>
        <row r="1122">
          <cell r="B1122">
            <v>546715</v>
          </cell>
          <cell r="C1122" t="str">
            <v>AFBL(Marketing)-12560</v>
          </cell>
          <cell r="D1122" t="str">
            <v>Md. Mustafizur Rahman</v>
          </cell>
          <cell r="E1122">
            <v>546715</v>
          </cell>
          <cell r="F1122" t="str">
            <v>Sales &amp; Marketing</v>
          </cell>
          <cell r="G1122" t="str">
            <v>Area Sales Manager</v>
          </cell>
        </row>
        <row r="1123">
          <cell r="B1123">
            <v>547732</v>
          </cell>
          <cell r="C1123" t="str">
            <v>AFBL-R3372</v>
          </cell>
          <cell r="D1123" t="str">
            <v>Md. Naziur Rahman</v>
          </cell>
          <cell r="E1123">
            <v>547732</v>
          </cell>
          <cell r="F1123" t="str">
            <v>Market Audit &amp; Business Intelligence</v>
          </cell>
          <cell r="G1123" t="str">
            <v>Executive</v>
          </cell>
        </row>
        <row r="1124">
          <cell r="B1124">
            <v>547971</v>
          </cell>
          <cell r="C1124" t="str">
            <v>AFBL(Marketing)-12714</v>
          </cell>
          <cell r="D1124" t="str">
            <v>Md. Rejaul Karim</v>
          </cell>
          <cell r="E1124">
            <v>547971</v>
          </cell>
          <cell r="F1124" t="str">
            <v>Sales &amp; Marketing</v>
          </cell>
          <cell r="G1124" t="str">
            <v>Area Sales Manager</v>
          </cell>
        </row>
        <row r="1125">
          <cell r="B1125">
            <v>548017</v>
          </cell>
          <cell r="C1125" t="str">
            <v>AFBL(Marketing)-12733</v>
          </cell>
          <cell r="D1125" t="str">
            <v>Md. Saifuzzaman</v>
          </cell>
          <cell r="E1125">
            <v>548017</v>
          </cell>
          <cell r="F1125" t="str">
            <v>Sales &amp; Marketing</v>
          </cell>
          <cell r="G1125" t="str">
            <v>Regional Sales Manager</v>
          </cell>
        </row>
        <row r="1126">
          <cell r="B1126">
            <v>548042</v>
          </cell>
          <cell r="C1126" t="str">
            <v>AFBL(Marketing)-12761</v>
          </cell>
          <cell r="D1126" t="str">
            <v>Md. Omar Faruk</v>
          </cell>
          <cell r="E1126">
            <v>548042</v>
          </cell>
          <cell r="F1126" t="str">
            <v>Sales &amp; Marketing</v>
          </cell>
          <cell r="G1126" t="str">
            <v>Regional Sales Manager</v>
          </cell>
        </row>
        <row r="1127">
          <cell r="B1127">
            <v>548055</v>
          </cell>
          <cell r="C1127" t="str">
            <v>AFBL(Marketing)-12765</v>
          </cell>
          <cell r="D1127" t="str">
            <v>Arfanur Rahman</v>
          </cell>
          <cell r="E1127">
            <v>548055</v>
          </cell>
          <cell r="F1127" t="str">
            <v>Sales &amp; Marketing</v>
          </cell>
          <cell r="G1127" t="str">
            <v>Territory Sales Manager</v>
          </cell>
        </row>
        <row r="1128">
          <cell r="B1128">
            <v>548058</v>
          </cell>
          <cell r="C1128" t="str">
            <v>AFBL(Marketing)-12762</v>
          </cell>
          <cell r="D1128" t="str">
            <v>Md. Tuhin Molla</v>
          </cell>
          <cell r="E1128">
            <v>548058</v>
          </cell>
          <cell r="F1128" t="str">
            <v>Sales &amp; Marketing</v>
          </cell>
          <cell r="G1128" t="str">
            <v>Area Sales Manager</v>
          </cell>
        </row>
        <row r="1129">
          <cell r="B1129">
            <v>548071</v>
          </cell>
          <cell r="C1129" t="str">
            <v>FR5518</v>
          </cell>
          <cell r="D1129" t="str">
            <v>Md. Rintu Hossain</v>
          </cell>
          <cell r="E1129">
            <v>548071</v>
          </cell>
          <cell r="F1129" t="str">
            <v>Aseptic Juice</v>
          </cell>
          <cell r="G1129" t="str">
            <v>Assistant Engineer</v>
          </cell>
        </row>
        <row r="1130">
          <cell r="B1130">
            <v>548385</v>
          </cell>
          <cell r="C1130" t="str">
            <v>FR5531</v>
          </cell>
          <cell r="D1130" t="str">
            <v>Alamin Shorker Sojib</v>
          </cell>
          <cell r="E1130">
            <v>548385</v>
          </cell>
          <cell r="F1130" t="str">
            <v>Quality Control</v>
          </cell>
          <cell r="G1130" t="str">
            <v>Junior Executive</v>
          </cell>
        </row>
        <row r="1131">
          <cell r="B1131">
            <v>548452</v>
          </cell>
          <cell r="C1131" t="str">
            <v>AFBL-R3378</v>
          </cell>
          <cell r="D1131" t="str">
            <v>Md. Abu Rasel Parvez</v>
          </cell>
          <cell r="E1131">
            <v>548452</v>
          </cell>
          <cell r="F1131" t="str">
            <v>RTM</v>
          </cell>
          <cell r="G1131" t="str">
            <v>Junior Executive</v>
          </cell>
        </row>
        <row r="1132">
          <cell r="B1132">
            <v>548515</v>
          </cell>
          <cell r="C1132" t="str">
            <v>AFBL-R3382</v>
          </cell>
          <cell r="D1132" t="str">
            <v>Md. Ahad Khondaker</v>
          </cell>
          <cell r="E1132">
            <v>548515</v>
          </cell>
          <cell r="F1132" t="str">
            <v>HORECA</v>
          </cell>
          <cell r="G1132" t="str">
            <v>Executive</v>
          </cell>
        </row>
        <row r="1133">
          <cell r="B1133">
            <v>548518</v>
          </cell>
          <cell r="C1133" t="str">
            <v>AFBL-R3379</v>
          </cell>
          <cell r="D1133" t="str">
            <v>Tanvir Zaman</v>
          </cell>
          <cell r="E1133">
            <v>548518</v>
          </cell>
          <cell r="F1133" t="str">
            <v>Legal Affairs</v>
          </cell>
          <cell r="G1133" t="str">
            <v>Manager</v>
          </cell>
        </row>
        <row r="1134">
          <cell r="B1134">
            <v>548596</v>
          </cell>
          <cell r="C1134" t="str">
            <v>AALL-35</v>
          </cell>
          <cell r="D1134" t="str">
            <v>Md.Abu Sufiyan Bhuiyan</v>
          </cell>
          <cell r="E1134">
            <v>548596</v>
          </cell>
          <cell r="F1134" t="str">
            <v>Accounts And Finance</v>
          </cell>
          <cell r="G1134" t="str">
            <v>Executive</v>
          </cell>
        </row>
        <row r="1135">
          <cell r="B1135">
            <v>548649</v>
          </cell>
          <cell r="C1135" t="str">
            <v>AFBL-R3384</v>
          </cell>
          <cell r="D1135" t="str">
            <v>Faijul Islam</v>
          </cell>
          <cell r="E1135">
            <v>548649</v>
          </cell>
          <cell r="F1135" t="str">
            <v>Accounts And Finance</v>
          </cell>
          <cell r="G1135" t="str">
            <v>Junior Executive</v>
          </cell>
        </row>
        <row r="1136">
          <cell r="B1136">
            <v>548650</v>
          </cell>
          <cell r="C1136" t="str">
            <v>AFBL-R3385</v>
          </cell>
          <cell r="D1136" t="str">
            <v>Sumona Rahman</v>
          </cell>
          <cell r="E1136">
            <v>548650</v>
          </cell>
          <cell r="F1136" t="str">
            <v>Legal Affairs</v>
          </cell>
          <cell r="G1136" t="str">
            <v>Executive</v>
          </cell>
        </row>
        <row r="1137">
          <cell r="B1137">
            <v>548719</v>
          </cell>
          <cell r="C1137" t="str">
            <v>FR5550</v>
          </cell>
          <cell r="D1137" t="str">
            <v>Mohammad Mahbubul Hossain</v>
          </cell>
          <cell r="E1137">
            <v>548719</v>
          </cell>
          <cell r="F1137" t="str">
            <v xml:space="preserve">Power </v>
          </cell>
          <cell r="G1137" t="str">
            <v>Engineer</v>
          </cell>
        </row>
        <row r="1138">
          <cell r="B1138">
            <v>548762</v>
          </cell>
          <cell r="C1138" t="str">
            <v>AFBL(Marketing)-12996</v>
          </cell>
          <cell r="D1138" t="str">
            <v>Kamrul Ahasan Mollick</v>
          </cell>
          <cell r="E1138">
            <v>548762</v>
          </cell>
          <cell r="F1138" t="str">
            <v>Sales &amp; Marketing</v>
          </cell>
          <cell r="G1138" t="str">
            <v>Regional Sales Manager</v>
          </cell>
        </row>
        <row r="1139">
          <cell r="B1139">
            <v>548767</v>
          </cell>
          <cell r="C1139" t="str">
            <v>AFBL-R3388</v>
          </cell>
          <cell r="D1139" t="str">
            <v xml:space="preserve">Munaf Gazi </v>
          </cell>
          <cell r="E1139">
            <v>548767</v>
          </cell>
          <cell r="F1139" t="str">
            <v>HORECA</v>
          </cell>
          <cell r="G1139" t="str">
            <v>Executive</v>
          </cell>
        </row>
        <row r="1140">
          <cell r="B1140">
            <v>548831</v>
          </cell>
          <cell r="C1140" t="str">
            <v>FR5559</v>
          </cell>
          <cell r="D1140" t="str">
            <v>Md. Imtiaz Aziz</v>
          </cell>
          <cell r="E1140">
            <v>548831</v>
          </cell>
          <cell r="F1140" t="str">
            <v>Electrical</v>
          </cell>
          <cell r="G1140" t="str">
            <v>Engineer</v>
          </cell>
        </row>
        <row r="1141">
          <cell r="B1141">
            <v>549039</v>
          </cell>
          <cell r="C1141" t="str">
            <v>FR5562</v>
          </cell>
          <cell r="D1141" t="str">
            <v>Md. Humayan Kabir</v>
          </cell>
          <cell r="E1141">
            <v>549039</v>
          </cell>
          <cell r="F1141" t="str">
            <v>Admin</v>
          </cell>
          <cell r="G1141" t="str">
            <v>Senior Executive</v>
          </cell>
        </row>
        <row r="1142">
          <cell r="B1142">
            <v>549046</v>
          </cell>
          <cell r="C1142" t="str">
            <v>FR5564</v>
          </cell>
          <cell r="D1142" t="str">
            <v>Md. Rasel Islam</v>
          </cell>
          <cell r="E1142">
            <v>549046</v>
          </cell>
          <cell r="F1142" t="str">
            <v>Quality Control</v>
          </cell>
          <cell r="G1142" t="str">
            <v>Junior Executive</v>
          </cell>
        </row>
        <row r="1143">
          <cell r="B1143">
            <v>549076</v>
          </cell>
          <cell r="C1143" t="str">
            <v>FR5568</v>
          </cell>
          <cell r="D1143" t="str">
            <v>Md. Farhad Zihad</v>
          </cell>
          <cell r="E1143">
            <v>549076</v>
          </cell>
          <cell r="F1143" t="str">
            <v>Quality Control</v>
          </cell>
          <cell r="G1143" t="str">
            <v>Junior Executive</v>
          </cell>
        </row>
        <row r="1144">
          <cell r="B1144">
            <v>549077</v>
          </cell>
          <cell r="C1144" t="str">
            <v>FR5569</v>
          </cell>
          <cell r="D1144" t="str">
            <v>Md. Tanvir Shafi</v>
          </cell>
          <cell r="E1144">
            <v>549077</v>
          </cell>
          <cell r="F1144" t="str">
            <v>Quality Control</v>
          </cell>
          <cell r="G1144" t="str">
            <v>Junior Executive</v>
          </cell>
        </row>
        <row r="1145">
          <cell r="B1145">
            <v>549121</v>
          </cell>
          <cell r="C1145" t="str">
            <v>AFBL-R3393</v>
          </cell>
          <cell r="D1145" t="str">
            <v>Abdul Al Ahin</v>
          </cell>
          <cell r="E1145">
            <v>549121</v>
          </cell>
          <cell r="F1145" t="str">
            <v>IT</v>
          </cell>
          <cell r="G1145" t="str">
            <v>Executive</v>
          </cell>
        </row>
        <row r="1146">
          <cell r="B1146">
            <v>549198</v>
          </cell>
          <cell r="C1146" t="str">
            <v>AFBL-R3395</v>
          </cell>
          <cell r="D1146" t="str">
            <v>Md. Rabbi Rahman</v>
          </cell>
          <cell r="E1146">
            <v>549198</v>
          </cell>
          <cell r="F1146" t="str">
            <v>Admin</v>
          </cell>
          <cell r="G1146" t="str">
            <v>Executive</v>
          </cell>
        </row>
        <row r="1147">
          <cell r="B1147">
            <v>549276</v>
          </cell>
          <cell r="C1147" t="str">
            <v>FR5582</v>
          </cell>
          <cell r="D1147" t="str">
            <v>Md. Zakir Hossen</v>
          </cell>
          <cell r="E1147">
            <v>549276</v>
          </cell>
          <cell r="F1147" t="str">
            <v>Admin</v>
          </cell>
          <cell r="G1147" t="str">
            <v>Senior Executive</v>
          </cell>
        </row>
        <row r="1148">
          <cell r="B1148">
            <v>549285</v>
          </cell>
          <cell r="C1148" t="str">
            <v>FR5591</v>
          </cell>
          <cell r="D1148" t="str">
            <v>Md. Hosain Ahmed</v>
          </cell>
          <cell r="E1148">
            <v>549285</v>
          </cell>
          <cell r="F1148" t="str">
            <v>CSD-8</v>
          </cell>
          <cell r="G1148" t="str">
            <v>Executive</v>
          </cell>
        </row>
        <row r="1149">
          <cell r="B1149">
            <v>549287</v>
          </cell>
          <cell r="C1149" t="str">
            <v>FR5593</v>
          </cell>
          <cell r="D1149" t="str">
            <v>Anantha Chandra Das</v>
          </cell>
          <cell r="E1149">
            <v>549287</v>
          </cell>
          <cell r="F1149" t="str">
            <v>Quality Control</v>
          </cell>
          <cell r="G1149" t="str">
            <v>Executive</v>
          </cell>
        </row>
        <row r="1150">
          <cell r="B1150">
            <v>549372</v>
          </cell>
          <cell r="C1150" t="str">
            <v>AFBL-R3396</v>
          </cell>
          <cell r="D1150" t="str">
            <v>Md. Reaaz Uddin Uddin</v>
          </cell>
          <cell r="E1150">
            <v>549372</v>
          </cell>
          <cell r="F1150" t="str">
            <v>Clemon Sports</v>
          </cell>
          <cell r="G1150" t="str">
            <v>Executive</v>
          </cell>
        </row>
        <row r="1151">
          <cell r="B1151">
            <v>549410</v>
          </cell>
          <cell r="C1151" t="str">
            <v>AFBL(Marketing)-13182</v>
          </cell>
          <cell r="D1151" t="str">
            <v>Md. Rajib Hossen</v>
          </cell>
          <cell r="E1151">
            <v>549410</v>
          </cell>
          <cell r="F1151" t="str">
            <v>Sales &amp; Marketing</v>
          </cell>
          <cell r="G1151" t="str">
            <v>Territory Sales Manager</v>
          </cell>
        </row>
        <row r="1152">
          <cell r="B1152">
            <v>549467</v>
          </cell>
          <cell r="C1152" t="str">
            <v>FR5600</v>
          </cell>
          <cell r="D1152" t="str">
            <v>Md.Saiduzzaman</v>
          </cell>
          <cell r="E1152">
            <v>549467</v>
          </cell>
          <cell r="F1152" t="str">
            <v>Quality Control</v>
          </cell>
          <cell r="G1152" t="str">
            <v>Executive</v>
          </cell>
        </row>
        <row r="1153">
          <cell r="B1153">
            <v>549497</v>
          </cell>
          <cell r="C1153" t="str">
            <v>AFBL-R3400</v>
          </cell>
          <cell r="D1153" t="str">
            <v>Habibur Rahman</v>
          </cell>
          <cell r="E1153">
            <v>549497</v>
          </cell>
          <cell r="F1153" t="str">
            <v>Sales Admin</v>
          </cell>
          <cell r="G1153" t="str">
            <v>Executive</v>
          </cell>
        </row>
        <row r="1154">
          <cell r="B1154">
            <v>549498</v>
          </cell>
          <cell r="C1154" t="str">
            <v>AFBL-R3401</v>
          </cell>
          <cell r="D1154" t="str">
            <v>Md. Alifuzzaman</v>
          </cell>
          <cell r="E1154">
            <v>549498</v>
          </cell>
          <cell r="F1154" t="str">
            <v>Trade Marketing</v>
          </cell>
          <cell r="G1154" t="str">
            <v>Executive</v>
          </cell>
        </row>
        <row r="1155">
          <cell r="B1155">
            <v>549501</v>
          </cell>
          <cell r="C1155" t="str">
            <v>AFBL-R3403</v>
          </cell>
          <cell r="D1155" t="str">
            <v>Hossain Al Banna</v>
          </cell>
          <cell r="E1155">
            <v>549501</v>
          </cell>
          <cell r="F1155" t="str">
            <v>Publication</v>
          </cell>
          <cell r="G1155" t="str">
            <v>Executive</v>
          </cell>
        </row>
        <row r="1156">
          <cell r="B1156">
            <v>549569</v>
          </cell>
          <cell r="C1156" t="str">
            <v>AFBL-R3404</v>
          </cell>
          <cell r="D1156" t="str">
            <v xml:space="preserve">Major Khan Mohammad Abdullah Al Rashed Ul Arefin </v>
          </cell>
          <cell r="E1156">
            <v>549569</v>
          </cell>
          <cell r="F1156" t="str">
            <v>Corporate Affairs</v>
          </cell>
          <cell r="G1156" t="str">
            <v>General Manager</v>
          </cell>
        </row>
        <row r="1157">
          <cell r="B1157">
            <v>549574</v>
          </cell>
          <cell r="C1157" t="str">
            <v>FR5604</v>
          </cell>
          <cell r="D1157" t="str">
            <v>Md. Abdun Nur</v>
          </cell>
          <cell r="E1157">
            <v>549574</v>
          </cell>
          <cell r="F1157" t="str">
            <v>Quality Control</v>
          </cell>
          <cell r="G1157" t="str">
            <v>Junior Executive</v>
          </cell>
        </row>
        <row r="1158">
          <cell r="B1158">
            <v>549685</v>
          </cell>
          <cell r="C1158" t="str">
            <v>FR5613</v>
          </cell>
          <cell r="D1158" t="str">
            <v>Nayan Barai</v>
          </cell>
          <cell r="E1158">
            <v>549685</v>
          </cell>
          <cell r="F1158" t="str">
            <v>Quality Control</v>
          </cell>
          <cell r="G1158" t="str">
            <v>Junior Executive</v>
          </cell>
        </row>
        <row r="1159">
          <cell r="B1159">
            <v>549737</v>
          </cell>
          <cell r="C1159" t="str">
            <v>FR5624</v>
          </cell>
          <cell r="D1159" t="str">
            <v>S.M. Sabbir Hossen</v>
          </cell>
          <cell r="E1159">
            <v>549737</v>
          </cell>
          <cell r="F1159" t="str">
            <v>CSD</v>
          </cell>
          <cell r="G1159" t="str">
            <v>Executive</v>
          </cell>
        </row>
        <row r="1160">
          <cell r="B1160">
            <v>549931</v>
          </cell>
          <cell r="C1160" t="str">
            <v>FR5653</v>
          </cell>
          <cell r="D1160" t="str">
            <v>Md. Masud Rana</v>
          </cell>
          <cell r="E1160">
            <v>549931</v>
          </cell>
          <cell r="F1160" t="str">
            <v>Distribution</v>
          </cell>
          <cell r="G1160" t="str">
            <v>Junior Executive</v>
          </cell>
        </row>
        <row r="1161">
          <cell r="B1161">
            <v>549932</v>
          </cell>
          <cell r="C1161" t="str">
            <v>FR5654</v>
          </cell>
          <cell r="D1161" t="str">
            <v>Hasin Sadab Labib</v>
          </cell>
          <cell r="E1161">
            <v>549932</v>
          </cell>
          <cell r="F1161" t="str">
            <v>Distribution</v>
          </cell>
          <cell r="G1161" t="str">
            <v>Junior Executive</v>
          </cell>
        </row>
        <row r="1162">
          <cell r="B1162">
            <v>549962</v>
          </cell>
          <cell r="C1162" t="str">
            <v>AFBL-R3407</v>
          </cell>
          <cell r="D1162" t="str">
            <v>Md. Asif Ali</v>
          </cell>
          <cell r="E1162">
            <v>549962</v>
          </cell>
          <cell r="F1162" t="str">
            <v>Sales Admin</v>
          </cell>
          <cell r="G1162" t="str">
            <v>Executive</v>
          </cell>
        </row>
        <row r="1163">
          <cell r="B1163">
            <v>549963</v>
          </cell>
          <cell r="C1163" t="str">
            <v>AFBL-R3406</v>
          </cell>
          <cell r="D1163" t="str">
            <v>Md. Sheikh Sadi Alam</v>
          </cell>
          <cell r="E1163">
            <v>549963</v>
          </cell>
          <cell r="F1163" t="str">
            <v>Sales Admin</v>
          </cell>
          <cell r="G1163" t="str">
            <v>Executive</v>
          </cell>
        </row>
        <row r="1164">
          <cell r="B1164">
            <v>550024</v>
          </cell>
          <cell r="C1164" t="str">
            <v>AFBL-R3408</v>
          </cell>
          <cell r="D1164" t="str">
            <v>Md. Mahbub Hasan</v>
          </cell>
          <cell r="E1164">
            <v>550024</v>
          </cell>
          <cell r="F1164" t="str">
            <v>Supply Chain</v>
          </cell>
          <cell r="G1164" t="str">
            <v>Senior Executive</v>
          </cell>
        </row>
        <row r="1165">
          <cell r="B1165">
            <v>550026</v>
          </cell>
          <cell r="C1165" t="str">
            <v>AFBL-R3409</v>
          </cell>
          <cell r="D1165" t="str">
            <v>Farjana Yesmin Moury</v>
          </cell>
          <cell r="E1165">
            <v>550026</v>
          </cell>
          <cell r="F1165" t="str">
            <v>Supply Chain</v>
          </cell>
          <cell r="G1165" t="str">
            <v>Senior Executive</v>
          </cell>
        </row>
        <row r="1166">
          <cell r="B1166">
            <v>550106</v>
          </cell>
          <cell r="C1166" t="str">
            <v>AFBL(Marketing)-13359</v>
          </cell>
          <cell r="D1166" t="str">
            <v>Rupam kumer Dash</v>
          </cell>
          <cell r="E1166">
            <v>550106</v>
          </cell>
          <cell r="F1166" t="str">
            <v>Sales &amp; Marketing</v>
          </cell>
          <cell r="G1166" t="str">
            <v>Area Sales Manager</v>
          </cell>
        </row>
        <row r="1167">
          <cell r="B1167">
            <v>550235</v>
          </cell>
          <cell r="C1167" t="str">
            <v>AFBL(Hob)-180</v>
          </cell>
          <cell r="D1167" t="str">
            <v>Md.Likhon Ali</v>
          </cell>
          <cell r="E1167">
            <v>550235</v>
          </cell>
          <cell r="F1167" t="str">
            <v>PPS</v>
          </cell>
          <cell r="G1167" t="str">
            <v>Engineer</v>
          </cell>
        </row>
        <row r="1168">
          <cell r="B1168">
            <v>550308</v>
          </cell>
          <cell r="C1168" t="str">
            <v>FR5670</v>
          </cell>
          <cell r="D1168" t="str">
            <v>Arpon Kumar Das</v>
          </cell>
          <cell r="E1168">
            <v>550308</v>
          </cell>
          <cell r="F1168" t="str">
            <v>Quality Control</v>
          </cell>
          <cell r="G1168" t="str">
            <v>Microbiologist</v>
          </cell>
        </row>
        <row r="1169">
          <cell r="B1169">
            <v>550309</v>
          </cell>
          <cell r="C1169" t="str">
            <v>FR5671</v>
          </cell>
          <cell r="D1169" t="str">
            <v>Md. Munjurul Islam</v>
          </cell>
          <cell r="E1169">
            <v>550309</v>
          </cell>
          <cell r="F1169" t="str">
            <v>Quality Control</v>
          </cell>
          <cell r="G1169" t="str">
            <v>Executive</v>
          </cell>
        </row>
        <row r="1170">
          <cell r="B1170">
            <v>550335</v>
          </cell>
          <cell r="C1170" t="str">
            <v>AFBL-R3411</v>
          </cell>
          <cell r="D1170" t="str">
            <v>Md. Saifuzzaman Tamim</v>
          </cell>
          <cell r="E1170">
            <v>550335</v>
          </cell>
          <cell r="F1170" t="str">
            <v>Export</v>
          </cell>
          <cell r="G1170" t="str">
            <v>Junior Executive</v>
          </cell>
        </row>
        <row r="1171">
          <cell r="B1171">
            <v>550353</v>
          </cell>
          <cell r="C1171" t="str">
            <v>AFBL(Marketing)-13430</v>
          </cell>
          <cell r="D1171" t="str">
            <v>Md. Mamun Hosen</v>
          </cell>
          <cell r="E1171">
            <v>550353</v>
          </cell>
          <cell r="F1171" t="str">
            <v>Sales &amp; Marketing</v>
          </cell>
          <cell r="G1171" t="str">
            <v>Territory Sales Manager</v>
          </cell>
        </row>
        <row r="1172">
          <cell r="B1172">
            <v>550381</v>
          </cell>
          <cell r="C1172" t="str">
            <v>AFBL-R3412</v>
          </cell>
          <cell r="D1172" t="str">
            <v>Nusrat Jahan Juthi</v>
          </cell>
          <cell r="E1172">
            <v>550381</v>
          </cell>
          <cell r="F1172" t="str">
            <v>HR</v>
          </cell>
          <cell r="G1172" t="str">
            <v>Executive</v>
          </cell>
        </row>
        <row r="1173">
          <cell r="B1173">
            <v>550401</v>
          </cell>
          <cell r="C1173" t="str">
            <v>FR5689</v>
          </cell>
          <cell r="D1173" t="str">
            <v>Md. Ariful Islam</v>
          </cell>
          <cell r="E1173">
            <v>550401</v>
          </cell>
          <cell r="F1173" t="str">
            <v>Distribution</v>
          </cell>
          <cell r="G1173" t="str">
            <v>Junior Executive</v>
          </cell>
        </row>
        <row r="1174">
          <cell r="B1174">
            <v>550422</v>
          </cell>
          <cell r="C1174" t="str">
            <v>AFBL(Hob)-194</v>
          </cell>
          <cell r="D1174" t="str">
            <v>Md.Sadnur Mobin</v>
          </cell>
          <cell r="E1174">
            <v>550422</v>
          </cell>
          <cell r="F1174" t="str">
            <v>Electrical</v>
          </cell>
          <cell r="G1174" t="str">
            <v>Assistant Engineer</v>
          </cell>
        </row>
        <row r="1175">
          <cell r="B1175">
            <v>550433</v>
          </cell>
          <cell r="C1175" t="str">
            <v>AFBL(Hob)-195</v>
          </cell>
          <cell r="D1175" t="str">
            <v>Razib Hossain</v>
          </cell>
          <cell r="E1175">
            <v>550433</v>
          </cell>
          <cell r="F1175" t="str">
            <v>Store</v>
          </cell>
          <cell r="G1175" t="str">
            <v>Junior Executive</v>
          </cell>
        </row>
        <row r="1176">
          <cell r="B1176">
            <v>550474</v>
          </cell>
          <cell r="C1176" t="str">
            <v>FR5706</v>
          </cell>
          <cell r="D1176" t="str">
            <v>Rana Hamid</v>
          </cell>
          <cell r="E1176">
            <v>550474</v>
          </cell>
          <cell r="F1176" t="str">
            <v>CSD</v>
          </cell>
          <cell r="G1176" t="str">
            <v>Executive</v>
          </cell>
        </row>
        <row r="1177">
          <cell r="B1177">
            <v>550726</v>
          </cell>
          <cell r="C1177" t="str">
            <v>AFBL-R3420</v>
          </cell>
          <cell r="D1177" t="str">
            <v>Mohammad Alomgir Hossain</v>
          </cell>
          <cell r="E1177">
            <v>550726</v>
          </cell>
          <cell r="F1177" t="str">
            <v>Distribution</v>
          </cell>
          <cell r="G1177" t="str">
            <v>Executive</v>
          </cell>
        </row>
        <row r="1178">
          <cell r="B1178">
            <v>550731</v>
          </cell>
          <cell r="C1178" t="str">
            <v>AFBL(Hob)-202</v>
          </cell>
          <cell r="D1178" t="str">
            <v>S. M. Saiful Islam</v>
          </cell>
          <cell r="E1178">
            <v>550731</v>
          </cell>
          <cell r="F1178" t="str">
            <v>HR</v>
          </cell>
          <cell r="G1178" t="str">
            <v>Assistant Manager</v>
          </cell>
        </row>
        <row r="1179">
          <cell r="B1179">
            <v>550845</v>
          </cell>
          <cell r="C1179" t="str">
            <v>FR5714</v>
          </cell>
          <cell r="D1179" t="str">
            <v>Md. Dipraj Khan</v>
          </cell>
          <cell r="E1179">
            <v>550845</v>
          </cell>
          <cell r="F1179" t="str">
            <v>Admin</v>
          </cell>
          <cell r="G1179" t="str">
            <v>Manager</v>
          </cell>
        </row>
        <row r="1180">
          <cell r="B1180">
            <v>550849</v>
          </cell>
          <cell r="C1180" t="str">
            <v>AFBL(Marketing)-13572</v>
          </cell>
          <cell r="D1180" t="str">
            <v>Md. Khalid Hasan</v>
          </cell>
          <cell r="E1180">
            <v>550849</v>
          </cell>
          <cell r="F1180" t="str">
            <v>Sales &amp; Marketing</v>
          </cell>
          <cell r="G1180" t="str">
            <v>Territory Sales Manager</v>
          </cell>
        </row>
        <row r="1181">
          <cell r="B1181">
            <v>550850</v>
          </cell>
          <cell r="C1181" t="str">
            <v>AFBL(Hob)-204</v>
          </cell>
          <cell r="D1181" t="str">
            <v>Md. Ridwanl  Haque Riad</v>
          </cell>
          <cell r="E1181">
            <v>550850</v>
          </cell>
          <cell r="F1181" t="str">
            <v>Electrical</v>
          </cell>
          <cell r="G1181" t="str">
            <v>Engineer</v>
          </cell>
        </row>
        <row r="1182">
          <cell r="B1182">
            <v>550854</v>
          </cell>
          <cell r="C1182" t="str">
            <v>AFBL(Marketing)-13575</v>
          </cell>
          <cell r="D1182" t="str">
            <v>Aninday Sarkar</v>
          </cell>
          <cell r="E1182">
            <v>550854</v>
          </cell>
          <cell r="F1182" t="str">
            <v>Sales &amp; Marketing</v>
          </cell>
          <cell r="G1182" t="str">
            <v>Territory Sales Manager</v>
          </cell>
        </row>
        <row r="1183">
          <cell r="B1183">
            <v>550860</v>
          </cell>
          <cell r="C1183" t="str">
            <v>AFBL(Marketing)-13580</v>
          </cell>
          <cell r="D1183" t="str">
            <v>Shah Navid Farhan</v>
          </cell>
          <cell r="E1183">
            <v>550860</v>
          </cell>
          <cell r="F1183" t="str">
            <v>Supply Chain</v>
          </cell>
          <cell r="G1183" t="str">
            <v>Executive</v>
          </cell>
        </row>
        <row r="1184">
          <cell r="B1184">
            <v>550881</v>
          </cell>
          <cell r="C1184" t="str">
            <v>AFBL-R3425</v>
          </cell>
          <cell r="D1184" t="str">
            <v>S. M. Zubair</v>
          </cell>
          <cell r="E1184">
            <v>550881</v>
          </cell>
          <cell r="F1184" t="str">
            <v>Legal Affairs</v>
          </cell>
          <cell r="G1184" t="str">
            <v>Executive</v>
          </cell>
        </row>
        <row r="1185">
          <cell r="B1185">
            <v>550929</v>
          </cell>
          <cell r="C1185" t="str">
            <v>FR5719</v>
          </cell>
          <cell r="D1185" t="str">
            <v>Md. Rashedul Hasan</v>
          </cell>
          <cell r="E1185">
            <v>550929</v>
          </cell>
          <cell r="F1185" t="str">
            <v>CSD-7</v>
          </cell>
          <cell r="G1185" t="str">
            <v>Executive</v>
          </cell>
        </row>
        <row r="1186">
          <cell r="B1186">
            <v>550949</v>
          </cell>
          <cell r="C1186" t="str">
            <v>FR5721</v>
          </cell>
          <cell r="D1186" t="str">
            <v>Md. Helal Uddin</v>
          </cell>
          <cell r="E1186">
            <v>550949</v>
          </cell>
          <cell r="F1186" t="str">
            <v>Printing</v>
          </cell>
          <cell r="G1186" t="str">
            <v>Executive</v>
          </cell>
        </row>
        <row r="1187">
          <cell r="B1187">
            <v>551033</v>
          </cell>
          <cell r="C1187" t="str">
            <v>AFBL-R3427</v>
          </cell>
          <cell r="D1187" t="str">
            <v>Md. Yeasin Akon</v>
          </cell>
          <cell r="E1187">
            <v>551033</v>
          </cell>
          <cell r="F1187" t="str">
            <v>Corporate Affairs</v>
          </cell>
          <cell r="G1187" t="str">
            <v>Executive</v>
          </cell>
        </row>
        <row r="1188">
          <cell r="B1188">
            <v>551050</v>
          </cell>
          <cell r="C1188" t="str">
            <v>AFBL(Hob)-209</v>
          </cell>
          <cell r="D1188" t="str">
            <v>Md. Waliur Rahman</v>
          </cell>
          <cell r="E1188">
            <v>551050</v>
          </cell>
          <cell r="F1188" t="str">
            <v>Store</v>
          </cell>
          <cell r="G1188" t="str">
            <v>Junior Executive</v>
          </cell>
        </row>
        <row r="1189">
          <cell r="B1189">
            <v>551232</v>
          </cell>
          <cell r="C1189" t="str">
            <v>AFBL(Hob)-214</v>
          </cell>
          <cell r="D1189" t="str">
            <v>Hridoy Kumar Tawary</v>
          </cell>
          <cell r="E1189">
            <v>551232</v>
          </cell>
          <cell r="F1189" t="str">
            <v>Store</v>
          </cell>
          <cell r="G1189" t="str">
            <v>Junior Executive</v>
          </cell>
        </row>
        <row r="1190">
          <cell r="B1190">
            <v>551234</v>
          </cell>
          <cell r="C1190" t="str">
            <v>AFBL-R3429</v>
          </cell>
          <cell r="D1190" t="str">
            <v>Neowas Ahamed Kabir</v>
          </cell>
          <cell r="E1190">
            <v>551234</v>
          </cell>
          <cell r="F1190" t="str">
            <v>New Project &amp; Development</v>
          </cell>
          <cell r="G1190" t="str">
            <v>Assistant Manager</v>
          </cell>
        </row>
        <row r="1191">
          <cell r="B1191">
            <v>551242</v>
          </cell>
          <cell r="C1191" t="str">
            <v>AFBL-R3428</v>
          </cell>
          <cell r="D1191" t="str">
            <v>Md. Arif Hossain</v>
          </cell>
          <cell r="E1191">
            <v>551242</v>
          </cell>
          <cell r="F1191" t="str">
            <v>Internal Audit &amp; Compliance</v>
          </cell>
          <cell r="G1191" t="str">
            <v>Senior Executive</v>
          </cell>
        </row>
        <row r="1192">
          <cell r="B1192">
            <v>551243</v>
          </cell>
          <cell r="C1192" t="str">
            <v>AFBL-R3432</v>
          </cell>
          <cell r="D1192" t="str">
            <v>S M Zahid Hasan</v>
          </cell>
          <cell r="E1192">
            <v>551243</v>
          </cell>
          <cell r="F1192" t="str">
            <v>Accounts And Finance</v>
          </cell>
          <cell r="G1192" t="str">
            <v>Executive</v>
          </cell>
        </row>
        <row r="1193">
          <cell r="B1193">
            <v>551244</v>
          </cell>
          <cell r="C1193" t="str">
            <v>AFBL(Marketing)-13700</v>
          </cell>
          <cell r="D1193" t="str">
            <v>Imtiaz Hoque Samin</v>
          </cell>
          <cell r="E1193">
            <v>551244</v>
          </cell>
          <cell r="F1193" t="str">
            <v>Sales &amp; Marketing</v>
          </cell>
          <cell r="G1193" t="str">
            <v>Area Sales Manager</v>
          </cell>
        </row>
        <row r="1194">
          <cell r="B1194">
            <v>551333</v>
          </cell>
          <cell r="C1194" t="str">
            <v>FR5772</v>
          </cell>
          <cell r="D1194" t="str">
            <v>Habibur Rahman</v>
          </cell>
          <cell r="E1194">
            <v>551333</v>
          </cell>
          <cell r="F1194" t="str">
            <v>Store</v>
          </cell>
          <cell r="G1194" t="str">
            <v>Junior Executive</v>
          </cell>
        </row>
        <row r="1195">
          <cell r="B1195">
            <v>551391</v>
          </cell>
          <cell r="C1195" t="str">
            <v>FR5787</v>
          </cell>
          <cell r="D1195" t="str">
            <v>Bani Amin</v>
          </cell>
          <cell r="E1195">
            <v>551391</v>
          </cell>
          <cell r="F1195" t="str">
            <v>Admin</v>
          </cell>
          <cell r="G1195" t="str">
            <v>Junior Executive</v>
          </cell>
        </row>
        <row r="1196">
          <cell r="B1196">
            <v>551402</v>
          </cell>
          <cell r="C1196" t="str">
            <v>AFBL-R3433</v>
          </cell>
          <cell r="D1196" t="str">
            <v>Md. Nur Nabi</v>
          </cell>
          <cell r="E1196">
            <v>551402</v>
          </cell>
          <cell r="F1196" t="str">
            <v>Market Audit &amp; Business Intelligence</v>
          </cell>
          <cell r="G1196" t="str">
            <v>Executive</v>
          </cell>
        </row>
        <row r="1197">
          <cell r="B1197">
            <v>551475</v>
          </cell>
          <cell r="C1197" t="str">
            <v>AFBL(Hob)-236</v>
          </cell>
          <cell r="D1197" t="str">
            <v>Md. Tahidul Islam</v>
          </cell>
          <cell r="E1197">
            <v>551475</v>
          </cell>
          <cell r="F1197" t="str">
            <v>Store</v>
          </cell>
          <cell r="G1197" t="str">
            <v>Junior Executive</v>
          </cell>
        </row>
        <row r="1198">
          <cell r="B1198">
            <v>551482</v>
          </cell>
          <cell r="C1198" t="str">
            <v>FR5791</v>
          </cell>
          <cell r="D1198" t="str">
            <v>Md. Naimour Rahman</v>
          </cell>
          <cell r="E1198">
            <v>551482</v>
          </cell>
          <cell r="F1198" t="str">
            <v>Store</v>
          </cell>
          <cell r="G1198" t="str">
            <v>Junior Executive</v>
          </cell>
        </row>
        <row r="1199">
          <cell r="B1199">
            <v>551483</v>
          </cell>
          <cell r="C1199" t="str">
            <v>FR5792</v>
          </cell>
          <cell r="D1199" t="str">
            <v>Mahfuj Alam</v>
          </cell>
          <cell r="E1199">
            <v>551483</v>
          </cell>
          <cell r="F1199" t="str">
            <v>CSD-7</v>
          </cell>
          <cell r="G1199" t="str">
            <v>Executive</v>
          </cell>
        </row>
        <row r="1200">
          <cell r="B1200">
            <v>551560</v>
          </cell>
          <cell r="C1200" t="str">
            <v>FR-5794</v>
          </cell>
          <cell r="D1200" t="str">
            <v>A.H.M Mostafizur Rahman</v>
          </cell>
          <cell r="E1200">
            <v>551560</v>
          </cell>
          <cell r="F1200" t="str">
            <v>Operations</v>
          </cell>
          <cell r="G1200" t="str">
            <v>Deputy General Manager</v>
          </cell>
        </row>
        <row r="1201">
          <cell r="B1201">
            <v>551757</v>
          </cell>
          <cell r="C1201" t="str">
            <v>AFBL(Hob)-254</v>
          </cell>
          <cell r="D1201" t="str">
            <v>Md. Sultanul Alam</v>
          </cell>
          <cell r="E1201">
            <v>551757</v>
          </cell>
          <cell r="F1201" t="str">
            <v>Electrical</v>
          </cell>
          <cell r="G1201" t="str">
            <v>Engineer</v>
          </cell>
        </row>
        <row r="1202">
          <cell r="B1202">
            <v>551824</v>
          </cell>
          <cell r="C1202" t="str">
            <v>FR5816</v>
          </cell>
          <cell r="D1202" t="str">
            <v>Md. Al Amin Molla</v>
          </cell>
          <cell r="E1202">
            <v>551824</v>
          </cell>
          <cell r="F1202" t="str">
            <v>Distribution</v>
          </cell>
          <cell r="G1202" t="str">
            <v>Executive</v>
          </cell>
        </row>
        <row r="1203">
          <cell r="B1203">
            <v>551825</v>
          </cell>
          <cell r="C1203" t="str">
            <v>FR5817</v>
          </cell>
          <cell r="D1203" t="str">
            <v>Sah Jalal</v>
          </cell>
          <cell r="E1203">
            <v>551825</v>
          </cell>
          <cell r="F1203" t="str">
            <v>Quality Control</v>
          </cell>
          <cell r="G1203" t="str">
            <v>Senior Executive</v>
          </cell>
        </row>
        <row r="1204">
          <cell r="B1204">
            <v>551835</v>
          </cell>
          <cell r="C1204" t="str">
            <v>FR5818</v>
          </cell>
          <cell r="D1204" t="str">
            <v>Ronjit Dhar Sharma</v>
          </cell>
          <cell r="E1204">
            <v>551835</v>
          </cell>
          <cell r="F1204" t="str">
            <v>Electrical</v>
          </cell>
          <cell r="G1204" t="str">
            <v>Engineer</v>
          </cell>
        </row>
        <row r="1205">
          <cell r="B1205">
            <v>551868</v>
          </cell>
          <cell r="C1205" t="str">
            <v>AFBL-R3435</v>
          </cell>
          <cell r="D1205" t="str">
            <v>Sohal Islam</v>
          </cell>
          <cell r="E1205">
            <v>551868</v>
          </cell>
          <cell r="F1205" t="str">
            <v>New Project &amp; Development</v>
          </cell>
          <cell r="G1205" t="str">
            <v>Assistant Manager</v>
          </cell>
        </row>
        <row r="1206">
          <cell r="B1206">
            <v>551983</v>
          </cell>
          <cell r="C1206" t="str">
            <v>AFBL-R3438</v>
          </cell>
          <cell r="D1206" t="str">
            <v>Nasir Uddin</v>
          </cell>
          <cell r="E1206">
            <v>551983</v>
          </cell>
          <cell r="F1206" t="str">
            <v>Accounts And Finance</v>
          </cell>
          <cell r="G1206" t="str">
            <v>Junior Executive</v>
          </cell>
        </row>
        <row r="1207">
          <cell r="B1207">
            <v>551985</v>
          </cell>
          <cell r="C1207" t="str">
            <v>AFBL-R3436</v>
          </cell>
          <cell r="D1207" t="str">
            <v>Md. Shahin Alam</v>
          </cell>
          <cell r="E1207">
            <v>551985</v>
          </cell>
          <cell r="F1207" t="str">
            <v>Market Audit &amp; Business Intelligence</v>
          </cell>
          <cell r="G1207" t="str">
            <v>Executive</v>
          </cell>
        </row>
        <row r="1208">
          <cell r="B1208">
            <v>552005</v>
          </cell>
          <cell r="C1208" t="str">
            <v>AFBL(Hob)-280</v>
          </cell>
          <cell r="D1208" t="str">
            <v>Md. Sanowar Hossain</v>
          </cell>
          <cell r="E1208">
            <v>552005</v>
          </cell>
          <cell r="F1208" t="str">
            <v>Admin</v>
          </cell>
          <cell r="G1208" t="str">
            <v>Manager</v>
          </cell>
        </row>
        <row r="1209">
          <cell r="B1209">
            <v>552010</v>
          </cell>
          <cell r="C1209" t="str">
            <v>AFBL(Hob)-282</v>
          </cell>
          <cell r="D1209" t="str">
            <v>Goutom Bhowmik</v>
          </cell>
          <cell r="E1209">
            <v>552010</v>
          </cell>
          <cell r="F1209" t="str">
            <v>CSD-7</v>
          </cell>
          <cell r="G1209" t="str">
            <v>Executive</v>
          </cell>
        </row>
        <row r="1210">
          <cell r="B1210">
            <v>552155</v>
          </cell>
          <cell r="C1210" t="str">
            <v>FR5824</v>
          </cell>
          <cell r="D1210" t="str">
            <v>Md. Shahidul Islam</v>
          </cell>
          <cell r="E1210">
            <v>552155</v>
          </cell>
          <cell r="F1210" t="str">
            <v>Aseptic Juice</v>
          </cell>
          <cell r="G1210" t="str">
            <v>Executive</v>
          </cell>
        </row>
        <row r="1211">
          <cell r="B1211">
            <v>552267</v>
          </cell>
          <cell r="C1211" t="str">
            <v>FR5827</v>
          </cell>
          <cell r="D1211" t="str">
            <v>Md. Shanto</v>
          </cell>
          <cell r="E1211">
            <v>552267</v>
          </cell>
          <cell r="F1211" t="str">
            <v>Store</v>
          </cell>
          <cell r="G1211" t="str">
            <v>Junior Executive</v>
          </cell>
        </row>
        <row r="1212">
          <cell r="B1212">
            <v>552283</v>
          </cell>
          <cell r="C1212" t="str">
            <v>AFBL(Hob)-289</v>
          </cell>
          <cell r="D1212" t="str">
            <v>Md. Shihab Bhuyan</v>
          </cell>
          <cell r="E1212">
            <v>552283</v>
          </cell>
          <cell r="F1212" t="str">
            <v>Store</v>
          </cell>
          <cell r="G1212" t="str">
            <v>Junior Executive</v>
          </cell>
        </row>
        <row r="1213">
          <cell r="B1213">
            <v>552287</v>
          </cell>
          <cell r="C1213" t="str">
            <v>FR5831</v>
          </cell>
          <cell r="D1213" t="str">
            <v>Moinul Hasan</v>
          </cell>
          <cell r="E1213">
            <v>552287</v>
          </cell>
          <cell r="F1213" t="str">
            <v>Functional Food and Beverage RnD</v>
          </cell>
          <cell r="G1213" t="str">
            <v>Senior Executive</v>
          </cell>
        </row>
        <row r="1214">
          <cell r="B1214">
            <v>552789</v>
          </cell>
          <cell r="C1214" t="str">
            <v>AFBL(Hob)-322</v>
          </cell>
          <cell r="D1214" t="str">
            <v>Naimul Amin Babu</v>
          </cell>
          <cell r="E1214">
            <v>552789</v>
          </cell>
          <cell r="F1214" t="str">
            <v>Electrical</v>
          </cell>
          <cell r="G1214" t="str">
            <v>Assistant Engineer</v>
          </cell>
        </row>
        <row r="1215">
          <cell r="B1215">
            <v>552790</v>
          </cell>
          <cell r="C1215" t="str">
            <v>AFBL(Hob)-323</v>
          </cell>
          <cell r="D1215" t="str">
            <v>Md. Shakil Khan</v>
          </cell>
          <cell r="E1215">
            <v>552790</v>
          </cell>
          <cell r="F1215" t="str">
            <v>Electrical</v>
          </cell>
          <cell r="G1215" t="str">
            <v>Assistant Engineer</v>
          </cell>
        </row>
        <row r="1216">
          <cell r="B1216">
            <v>552791</v>
          </cell>
          <cell r="C1216" t="str">
            <v>AFBL(Hob)-324</v>
          </cell>
          <cell r="D1216" t="str">
            <v>Nazmul Hasan</v>
          </cell>
          <cell r="E1216">
            <v>552791</v>
          </cell>
          <cell r="F1216" t="str">
            <v>Mechanical</v>
          </cell>
          <cell r="G1216" t="str">
            <v>Assistant Engineer</v>
          </cell>
        </row>
        <row r="1217">
          <cell r="B1217">
            <v>552792</v>
          </cell>
          <cell r="C1217" t="str">
            <v>AFBL(Hob)-325</v>
          </cell>
          <cell r="D1217" t="str">
            <v>Khondokar Anowarus Sadot</v>
          </cell>
          <cell r="E1217">
            <v>552792</v>
          </cell>
          <cell r="F1217" t="str">
            <v xml:space="preserve">Power </v>
          </cell>
          <cell r="G1217" t="str">
            <v>Engineer</v>
          </cell>
        </row>
        <row r="1218">
          <cell r="B1218">
            <v>552794</v>
          </cell>
          <cell r="C1218" t="str">
            <v>AFBL(Hob)-326</v>
          </cell>
          <cell r="D1218" t="str">
            <v>Md. Golam Murtaza</v>
          </cell>
          <cell r="E1218">
            <v>552794</v>
          </cell>
          <cell r="F1218" t="str">
            <v>Quality Control</v>
          </cell>
          <cell r="G1218" t="str">
            <v>Junior Executive</v>
          </cell>
        </row>
        <row r="1219">
          <cell r="B1219">
            <v>552799</v>
          </cell>
          <cell r="C1219" t="str">
            <v>AFBL(Hob)-329</v>
          </cell>
          <cell r="D1219" t="str">
            <v>Anik Hore</v>
          </cell>
          <cell r="E1219">
            <v>552799</v>
          </cell>
          <cell r="F1219" t="str">
            <v>Quality Control</v>
          </cell>
          <cell r="G1219" t="str">
            <v>Junior Executive</v>
          </cell>
        </row>
        <row r="1220">
          <cell r="B1220">
            <v>552819</v>
          </cell>
          <cell r="C1220" t="str">
            <v>AFBL(Hob)-334</v>
          </cell>
          <cell r="D1220" t="str">
            <v>Md. Nayem Hossain</v>
          </cell>
          <cell r="E1220">
            <v>552819</v>
          </cell>
          <cell r="F1220" t="str">
            <v>Electrical</v>
          </cell>
          <cell r="G1220" t="str">
            <v>Assistant Engineer</v>
          </cell>
        </row>
        <row r="1221">
          <cell r="B1221">
            <v>552827</v>
          </cell>
          <cell r="C1221" t="str">
            <v>FR5848</v>
          </cell>
          <cell r="D1221" t="str">
            <v>Md.Shahidullah</v>
          </cell>
          <cell r="E1221">
            <v>552827</v>
          </cell>
          <cell r="F1221" t="str">
            <v>Quality Control</v>
          </cell>
          <cell r="G1221" t="str">
            <v>Executive</v>
          </cell>
        </row>
        <row r="1222">
          <cell r="B1222">
            <v>552840</v>
          </cell>
          <cell r="C1222" t="str">
            <v>FR5856</v>
          </cell>
          <cell r="D1222" t="str">
            <v>Suvrow Neogie</v>
          </cell>
          <cell r="E1222">
            <v>552840</v>
          </cell>
          <cell r="F1222" t="str">
            <v>Quality Control</v>
          </cell>
          <cell r="G1222" t="str">
            <v>Junior Executive</v>
          </cell>
        </row>
        <row r="1223">
          <cell r="B1223">
            <v>552918</v>
          </cell>
          <cell r="C1223" t="str">
            <v>FR5881</v>
          </cell>
          <cell r="D1223" t="str">
            <v>Md. Rafiqul Islam</v>
          </cell>
          <cell r="E1223">
            <v>552918</v>
          </cell>
          <cell r="F1223" t="str">
            <v>Mechanical</v>
          </cell>
          <cell r="G1223" t="str">
            <v>Assistant Engineer</v>
          </cell>
        </row>
        <row r="1224">
          <cell r="B1224">
            <v>553210</v>
          </cell>
          <cell r="C1224" t="str">
            <v>AFBL(Hob)-346</v>
          </cell>
          <cell r="D1224" t="str">
            <v>Md. Abdur Rahaman Khan</v>
          </cell>
          <cell r="E1224">
            <v>553210</v>
          </cell>
          <cell r="F1224" t="str">
            <v>Distribution</v>
          </cell>
          <cell r="G1224" t="str">
            <v>Assistant Manager</v>
          </cell>
        </row>
        <row r="1225">
          <cell r="B1225">
            <v>553237</v>
          </cell>
          <cell r="C1225" t="str">
            <v>FR5894</v>
          </cell>
          <cell r="D1225" t="str">
            <v>Md. Emran Hosen Shawon</v>
          </cell>
          <cell r="E1225">
            <v>553237</v>
          </cell>
          <cell r="F1225" t="str">
            <v>Functional Food and Beverage RnD</v>
          </cell>
          <cell r="G1225" t="str">
            <v>Executive</v>
          </cell>
        </row>
        <row r="1226">
          <cell r="B1226">
            <v>553244</v>
          </cell>
          <cell r="C1226" t="str">
            <v>AFBL(Hob)-347</v>
          </cell>
          <cell r="D1226" t="str">
            <v xml:space="preserve"> Md.Abul  Kashem</v>
          </cell>
          <cell r="E1226">
            <v>553244</v>
          </cell>
          <cell r="F1226" t="str">
            <v>Resource Management &amp; Development</v>
          </cell>
          <cell r="G1226" t="str">
            <v>Junior Executive</v>
          </cell>
        </row>
        <row r="1227">
          <cell r="B1227">
            <v>553256</v>
          </cell>
          <cell r="C1227" t="str">
            <v>AFBL-R3443</v>
          </cell>
          <cell r="D1227" t="str">
            <v>Jahid Hasan</v>
          </cell>
          <cell r="E1227">
            <v>553256</v>
          </cell>
          <cell r="F1227" t="str">
            <v>Outdoor Management</v>
          </cell>
          <cell r="G1227" t="str">
            <v>Executive</v>
          </cell>
        </row>
        <row r="1228">
          <cell r="B1228">
            <v>553328</v>
          </cell>
          <cell r="C1228" t="str">
            <v>AFBL(Hob)-349</v>
          </cell>
          <cell r="D1228" t="str">
            <v>Abdullah Al Noman</v>
          </cell>
          <cell r="E1228">
            <v>553328</v>
          </cell>
          <cell r="F1228" t="str">
            <v>Quality Control</v>
          </cell>
          <cell r="G1228" t="str">
            <v>Junior Executive</v>
          </cell>
        </row>
        <row r="1229">
          <cell r="B1229">
            <v>553631</v>
          </cell>
          <cell r="C1229" t="str">
            <v>FR5907</v>
          </cell>
          <cell r="D1229" t="str">
            <v>Md. Shahriar Hasan Lajuk</v>
          </cell>
          <cell r="E1229">
            <v>553631</v>
          </cell>
          <cell r="F1229" t="str">
            <v>Distribution</v>
          </cell>
          <cell r="G1229" t="str">
            <v>Junior Executive</v>
          </cell>
        </row>
        <row r="1230">
          <cell r="B1230">
            <v>553665</v>
          </cell>
          <cell r="C1230" t="str">
            <v>AFBL(Hob)-353</v>
          </cell>
          <cell r="D1230" t="str">
            <v>Zabiur Rahman</v>
          </cell>
          <cell r="E1230">
            <v>553665</v>
          </cell>
          <cell r="F1230" t="str">
            <v xml:space="preserve">Power </v>
          </cell>
          <cell r="G1230" t="str">
            <v>Engineer</v>
          </cell>
        </row>
        <row r="1231">
          <cell r="B1231">
            <v>553740</v>
          </cell>
          <cell r="C1231" t="str">
            <v>FR5920</v>
          </cell>
          <cell r="D1231" t="str">
            <v>Khondokar Sazzad Hossain</v>
          </cell>
          <cell r="E1231">
            <v>553740</v>
          </cell>
          <cell r="F1231" t="str">
            <v>Quality Control</v>
          </cell>
          <cell r="G1231" t="str">
            <v>Junior Executive</v>
          </cell>
        </row>
        <row r="1232">
          <cell r="B1232">
            <v>553750</v>
          </cell>
          <cell r="C1232" t="str">
            <v>AFBL(Hob)-360</v>
          </cell>
          <cell r="D1232" t="str">
            <v>Md. Mominur Islam</v>
          </cell>
          <cell r="E1232">
            <v>553750</v>
          </cell>
          <cell r="F1232" t="str">
            <v>Resource Management &amp; Development</v>
          </cell>
          <cell r="G1232" t="str">
            <v>Junior Executive</v>
          </cell>
        </row>
        <row r="1233">
          <cell r="B1233">
            <v>553775</v>
          </cell>
          <cell r="C1233" t="str">
            <v>AFBL(Hob)-363</v>
          </cell>
          <cell r="D1233" t="str">
            <v>Md.Sohel Rana</v>
          </cell>
          <cell r="E1233">
            <v>553775</v>
          </cell>
          <cell r="F1233" t="str">
            <v>Distribution</v>
          </cell>
          <cell r="G1233" t="str">
            <v>Junior Executive</v>
          </cell>
        </row>
        <row r="1234">
          <cell r="B1234">
            <v>553792</v>
          </cell>
          <cell r="C1234" t="str">
            <v>AFBL-R3448</v>
          </cell>
          <cell r="D1234" t="str">
            <v>Md. Nazmul Hossain</v>
          </cell>
          <cell r="E1234">
            <v>553792</v>
          </cell>
          <cell r="F1234" t="str">
            <v>Admin</v>
          </cell>
          <cell r="G1234" t="str">
            <v>Junior Executive</v>
          </cell>
        </row>
        <row r="1235">
          <cell r="B1235">
            <v>553813</v>
          </cell>
          <cell r="C1235" t="str">
            <v>AFBL(Hob)-369</v>
          </cell>
          <cell r="D1235" t="str">
            <v>Md. Mostafizur Rahman Chowdhury</v>
          </cell>
          <cell r="E1235">
            <v>553813</v>
          </cell>
          <cell r="F1235" t="str">
            <v>Electrical</v>
          </cell>
          <cell r="G1235" t="str">
            <v>Senior Engineer</v>
          </cell>
        </row>
        <row r="1236">
          <cell r="B1236">
            <v>553818</v>
          </cell>
          <cell r="C1236" t="str">
            <v>AFBL(Hob)-371</v>
          </cell>
          <cell r="D1236" t="str">
            <v>Md.Abul Hashem</v>
          </cell>
          <cell r="E1236">
            <v>553818</v>
          </cell>
          <cell r="F1236" t="str">
            <v xml:space="preserve">Power </v>
          </cell>
          <cell r="G1236" t="str">
            <v>Assistant Manager</v>
          </cell>
        </row>
        <row r="1237">
          <cell r="B1237">
            <v>553829</v>
          </cell>
          <cell r="C1237" t="str">
            <v>FR5927</v>
          </cell>
          <cell r="D1237" t="str">
            <v>Md. Mostafizur Rahman</v>
          </cell>
          <cell r="E1237">
            <v>553829</v>
          </cell>
          <cell r="F1237" t="str">
            <v>Electrical</v>
          </cell>
          <cell r="G1237" t="str">
            <v>Engineer</v>
          </cell>
        </row>
        <row r="1238">
          <cell r="B1238">
            <v>553830</v>
          </cell>
          <cell r="C1238" t="str">
            <v>FR5928</v>
          </cell>
          <cell r="D1238" t="str">
            <v xml:space="preserve">Abdul Ahad </v>
          </cell>
          <cell r="E1238">
            <v>553830</v>
          </cell>
          <cell r="F1238" t="str">
            <v>Accounts And Finance</v>
          </cell>
          <cell r="G1238" t="str">
            <v>Junior Executive</v>
          </cell>
        </row>
        <row r="1239">
          <cell r="B1239">
            <v>553833</v>
          </cell>
          <cell r="C1239" t="str">
            <v>FR5931</v>
          </cell>
          <cell r="D1239" t="str">
            <v>Md. Sakhawat Hossain</v>
          </cell>
          <cell r="E1239">
            <v>553833</v>
          </cell>
          <cell r="F1239" t="str">
            <v>Mechanical</v>
          </cell>
          <cell r="G1239" t="str">
            <v>Engineer</v>
          </cell>
        </row>
        <row r="1240">
          <cell r="B1240">
            <v>553866</v>
          </cell>
          <cell r="C1240" t="str">
            <v>AFBL-R3451</v>
          </cell>
          <cell r="D1240" t="str">
            <v>Md. Oliul Ahad</v>
          </cell>
          <cell r="E1240">
            <v>553866</v>
          </cell>
          <cell r="F1240" t="str">
            <v>Accounts And Finance</v>
          </cell>
          <cell r="G1240" t="str">
            <v>Junior Executive</v>
          </cell>
        </row>
        <row r="1241">
          <cell r="B1241">
            <v>553894</v>
          </cell>
          <cell r="C1241" t="str">
            <v>AFBL-R3452</v>
          </cell>
          <cell r="D1241" t="str">
            <v>Anisur Rahman</v>
          </cell>
          <cell r="E1241">
            <v>553894</v>
          </cell>
          <cell r="F1241" t="str">
            <v>Accounts And Finance</v>
          </cell>
          <cell r="G1241" t="str">
            <v>Junior Executive</v>
          </cell>
        </row>
        <row r="1242">
          <cell r="B1242">
            <v>553898</v>
          </cell>
          <cell r="C1242" t="str">
            <v>AFBL(Hob)-373</v>
          </cell>
          <cell r="D1242" t="str">
            <v>Md.Adnan Hossain</v>
          </cell>
          <cell r="E1242">
            <v>553898</v>
          </cell>
          <cell r="F1242" t="str">
            <v>HR</v>
          </cell>
          <cell r="G1242" t="str">
            <v>Executive</v>
          </cell>
        </row>
        <row r="1243">
          <cell r="B1243">
            <v>553908</v>
          </cell>
          <cell r="C1243" t="str">
            <v>FR5933</v>
          </cell>
          <cell r="D1243" t="str">
            <v>Md. Rifat Ali</v>
          </cell>
          <cell r="E1243">
            <v>553908</v>
          </cell>
          <cell r="F1243" t="str">
            <v>Drinking Water Plant</v>
          </cell>
          <cell r="G1243" t="str">
            <v>Executive</v>
          </cell>
        </row>
        <row r="1244">
          <cell r="B1244">
            <v>553935</v>
          </cell>
          <cell r="C1244" t="str">
            <v>FR5955</v>
          </cell>
          <cell r="D1244" t="str">
            <v>Md. Jahir Hossain</v>
          </cell>
          <cell r="E1244">
            <v>553935</v>
          </cell>
          <cell r="F1244" t="str">
            <v>Store</v>
          </cell>
          <cell r="G1244" t="str">
            <v>Junior Executive</v>
          </cell>
        </row>
        <row r="1245">
          <cell r="B1245">
            <v>553943</v>
          </cell>
          <cell r="C1245" t="str">
            <v>AFBL(Hob)-377</v>
          </cell>
          <cell r="D1245" t="str">
            <v>Md. Akteruzzaman Khan</v>
          </cell>
          <cell r="E1245">
            <v>553943</v>
          </cell>
          <cell r="F1245" t="str">
            <v>Mechanical</v>
          </cell>
          <cell r="G1245" t="str">
            <v>Assistant Engineer</v>
          </cell>
        </row>
        <row r="1246">
          <cell r="B1246">
            <v>553946</v>
          </cell>
          <cell r="C1246" t="str">
            <v>FR5960</v>
          </cell>
          <cell r="D1246" t="str">
            <v>Hasanuzzaman</v>
          </cell>
          <cell r="E1246">
            <v>553946</v>
          </cell>
          <cell r="F1246" t="str">
            <v>Quality Control</v>
          </cell>
          <cell r="G1246" t="str">
            <v>Junior Executive</v>
          </cell>
        </row>
        <row r="1247">
          <cell r="B1247">
            <v>553949</v>
          </cell>
          <cell r="C1247" t="str">
            <v>FR5962</v>
          </cell>
          <cell r="D1247" t="str">
            <v>Md. Shamsul Alam</v>
          </cell>
          <cell r="E1247">
            <v>553949</v>
          </cell>
          <cell r="F1247" t="str">
            <v>Quality Control</v>
          </cell>
          <cell r="G1247" t="str">
            <v>Junior Executive</v>
          </cell>
        </row>
        <row r="1248">
          <cell r="B1248">
            <v>553965</v>
          </cell>
          <cell r="C1248" t="str">
            <v>AFBL-R3453</v>
          </cell>
          <cell r="D1248" t="str">
            <v>Mohammad Saiful Islam</v>
          </cell>
          <cell r="E1248">
            <v>553965</v>
          </cell>
          <cell r="F1248" t="str">
            <v>Civil</v>
          </cell>
          <cell r="G1248" t="str">
            <v>Deputy Manager</v>
          </cell>
        </row>
        <row r="1249">
          <cell r="B1249">
            <v>553966</v>
          </cell>
          <cell r="C1249" t="str">
            <v>AFBL-R3454</v>
          </cell>
          <cell r="D1249" t="str">
            <v>Abdullah</v>
          </cell>
          <cell r="E1249">
            <v>553966</v>
          </cell>
          <cell r="F1249" t="str">
            <v>HR</v>
          </cell>
          <cell r="G1249" t="str">
            <v>Senior Executive</v>
          </cell>
        </row>
        <row r="1250">
          <cell r="B1250">
            <v>553972</v>
          </cell>
          <cell r="C1250" t="str">
            <v>FR5966</v>
          </cell>
          <cell r="D1250" t="str">
            <v>Md. Tanzilur Rahman</v>
          </cell>
          <cell r="E1250">
            <v>553972</v>
          </cell>
          <cell r="F1250" t="str">
            <v>Store</v>
          </cell>
          <cell r="G1250" t="str">
            <v>Junior Executive</v>
          </cell>
        </row>
        <row r="1251">
          <cell r="B1251">
            <v>553985</v>
          </cell>
          <cell r="C1251" t="str">
            <v>AFBL-R3455</v>
          </cell>
          <cell r="D1251" t="str">
            <v>Abu Hasnat Asib Neloy</v>
          </cell>
          <cell r="E1251">
            <v>553985</v>
          </cell>
          <cell r="F1251" t="str">
            <v>New Project &amp; Development</v>
          </cell>
          <cell r="G1251" t="str">
            <v>Executive</v>
          </cell>
        </row>
        <row r="1252">
          <cell r="B1252">
            <v>554017</v>
          </cell>
          <cell r="C1252" t="str">
            <v>FR5968</v>
          </cell>
          <cell r="D1252" t="str">
            <v>Md. Al Mamun Mridha</v>
          </cell>
          <cell r="E1252">
            <v>554017</v>
          </cell>
          <cell r="F1252" t="str">
            <v>Quality Control</v>
          </cell>
          <cell r="G1252" t="str">
            <v>Senior Executive</v>
          </cell>
        </row>
        <row r="1253">
          <cell r="B1253">
            <v>554018</v>
          </cell>
          <cell r="C1253" t="str">
            <v>FR5969</v>
          </cell>
          <cell r="D1253" t="str">
            <v>Muktadirul Haque Bouiyan</v>
          </cell>
          <cell r="E1253">
            <v>554018</v>
          </cell>
          <cell r="F1253" t="str">
            <v>Distribution</v>
          </cell>
          <cell r="G1253" t="str">
            <v>Junior Executive</v>
          </cell>
        </row>
        <row r="1254">
          <cell r="B1254">
            <v>554156</v>
          </cell>
          <cell r="C1254" t="str">
            <v>FR5974</v>
          </cell>
          <cell r="D1254" t="str">
            <v>Mohammad Mezanur Rahman</v>
          </cell>
          <cell r="E1254">
            <v>554156</v>
          </cell>
          <cell r="F1254" t="str">
            <v>CSD</v>
          </cell>
          <cell r="G1254" t="str">
            <v>Executive</v>
          </cell>
        </row>
        <row r="1255">
          <cell r="B1255">
            <v>554222</v>
          </cell>
          <cell r="C1255" t="str">
            <v>AFBL(Hob)-388</v>
          </cell>
          <cell r="D1255" t="str">
            <v>Md.Misbah Uddin Sadi</v>
          </cell>
          <cell r="E1255">
            <v>554222</v>
          </cell>
          <cell r="F1255" t="str">
            <v>HR</v>
          </cell>
          <cell r="G1255" t="str">
            <v>Senior Executive</v>
          </cell>
        </row>
        <row r="1256">
          <cell r="B1256">
            <v>554223</v>
          </cell>
          <cell r="C1256" t="str">
            <v>FR5977</v>
          </cell>
          <cell r="D1256" t="str">
            <v>Md. Mostak Ahmed</v>
          </cell>
          <cell r="E1256">
            <v>554223</v>
          </cell>
          <cell r="F1256" t="str">
            <v>Drinking Water Plant</v>
          </cell>
          <cell r="G1256" t="str">
            <v>Executive</v>
          </cell>
        </row>
        <row r="1257">
          <cell r="B1257">
            <v>554336</v>
          </cell>
          <cell r="C1257" t="str">
            <v>AFBL-R3457</v>
          </cell>
          <cell r="D1257" t="str">
            <v>Afsar Kabir</v>
          </cell>
          <cell r="E1257">
            <v>554336</v>
          </cell>
          <cell r="F1257" t="str">
            <v>HR</v>
          </cell>
          <cell r="G1257" t="str">
            <v>Executive</v>
          </cell>
        </row>
        <row r="1258">
          <cell r="B1258">
            <v>554422</v>
          </cell>
          <cell r="C1258" t="str">
            <v>Intern-179</v>
          </cell>
          <cell r="D1258" t="str">
            <v>Md. Yeasin Arafat Shuvo</v>
          </cell>
          <cell r="E1258">
            <v>554422</v>
          </cell>
          <cell r="F1258" t="str">
            <v>Sales Admin</v>
          </cell>
          <cell r="G1258" t="str">
            <v>Intern</v>
          </cell>
        </row>
        <row r="1259">
          <cell r="B1259">
            <v>554436</v>
          </cell>
          <cell r="C1259" t="str">
            <v>AFBL(Hob)-392</v>
          </cell>
          <cell r="D1259" t="str">
            <v>Santa Ghosh</v>
          </cell>
          <cell r="E1259">
            <v>554436</v>
          </cell>
          <cell r="F1259" t="str">
            <v>CSD-8</v>
          </cell>
          <cell r="G1259" t="str">
            <v>Executive</v>
          </cell>
        </row>
        <row r="1260">
          <cell r="B1260">
            <v>554475</v>
          </cell>
          <cell r="C1260" t="str">
            <v>AFBL(Hob)-393</v>
          </cell>
          <cell r="D1260" t="str">
            <v>Md.Hasan Ali Talukder</v>
          </cell>
          <cell r="E1260">
            <v>554475</v>
          </cell>
          <cell r="F1260" t="str">
            <v>Accounts And Finance</v>
          </cell>
          <cell r="G1260" t="str">
            <v>Executive</v>
          </cell>
        </row>
        <row r="1261">
          <cell r="B1261">
            <v>554485</v>
          </cell>
          <cell r="C1261" t="str">
            <v>AFBL-R3458</v>
          </cell>
          <cell r="D1261" t="str">
            <v>Md. Al-Ikrum</v>
          </cell>
          <cell r="E1261">
            <v>554485</v>
          </cell>
          <cell r="F1261" t="str">
            <v>HR</v>
          </cell>
          <cell r="G1261" t="str">
            <v>Manager</v>
          </cell>
        </row>
        <row r="1262">
          <cell r="B1262">
            <v>554491</v>
          </cell>
          <cell r="C1262" t="str">
            <v>FR5998</v>
          </cell>
          <cell r="D1262" t="str">
            <v>Md. Raihan</v>
          </cell>
          <cell r="E1262">
            <v>554491</v>
          </cell>
          <cell r="F1262" t="str">
            <v>WTP</v>
          </cell>
          <cell r="G1262" t="str">
            <v>Junior Executive</v>
          </cell>
        </row>
        <row r="1263">
          <cell r="B1263">
            <v>554497</v>
          </cell>
          <cell r="C1263" t="str">
            <v>AFBL-R3460</v>
          </cell>
          <cell r="D1263" t="str">
            <v>Md. Touhidur Rahman</v>
          </cell>
          <cell r="E1263">
            <v>554497</v>
          </cell>
          <cell r="F1263" t="str">
            <v>Supply Chain</v>
          </cell>
          <cell r="G1263" t="str">
            <v>Senior Executive</v>
          </cell>
        </row>
        <row r="1264">
          <cell r="B1264">
            <v>554500</v>
          </cell>
          <cell r="C1264" t="str">
            <v>AFBL-R3459</v>
          </cell>
          <cell r="D1264" t="str">
            <v>Sadia Islam Runa</v>
          </cell>
          <cell r="E1264">
            <v>554500</v>
          </cell>
          <cell r="F1264" t="str">
            <v>Admin</v>
          </cell>
          <cell r="G1264" t="str">
            <v>Junior Executive</v>
          </cell>
        </row>
        <row r="1265">
          <cell r="B1265">
            <v>554501</v>
          </cell>
          <cell r="C1265" t="str">
            <v>FR6005</v>
          </cell>
          <cell r="D1265" t="str">
            <v>Mohammad Sourav Hossain</v>
          </cell>
          <cell r="E1265">
            <v>554501</v>
          </cell>
          <cell r="F1265" t="str">
            <v>Accounts And Finance</v>
          </cell>
          <cell r="G1265" t="str">
            <v>Executive</v>
          </cell>
        </row>
        <row r="1266">
          <cell r="B1266">
            <v>554502</v>
          </cell>
          <cell r="C1266" t="str">
            <v>FR6006</v>
          </cell>
          <cell r="D1266" t="str">
            <v>Md. Masum Parvez</v>
          </cell>
          <cell r="E1266">
            <v>554502</v>
          </cell>
          <cell r="F1266" t="str">
            <v>Quality Control</v>
          </cell>
          <cell r="G1266" t="str">
            <v>Junior Executive</v>
          </cell>
        </row>
        <row r="1267">
          <cell r="B1267">
            <v>554551</v>
          </cell>
          <cell r="C1267" t="str">
            <v>FR6013</v>
          </cell>
          <cell r="D1267" t="str">
            <v>Abul Khair</v>
          </cell>
          <cell r="E1267">
            <v>554551</v>
          </cell>
          <cell r="F1267" t="str">
            <v>Electrical</v>
          </cell>
          <cell r="G1267" t="str">
            <v>Engineer</v>
          </cell>
        </row>
        <row r="1268">
          <cell r="B1268">
            <v>554570</v>
          </cell>
          <cell r="C1268" t="str">
            <v>FR6018</v>
          </cell>
          <cell r="D1268" t="str">
            <v>Md. Rabbani Shah Tusar</v>
          </cell>
          <cell r="E1268">
            <v>554570</v>
          </cell>
          <cell r="F1268" t="str">
            <v>WTP</v>
          </cell>
          <cell r="G1268" t="str">
            <v>Junior Executive</v>
          </cell>
        </row>
        <row r="1269">
          <cell r="B1269">
            <v>554621</v>
          </cell>
          <cell r="C1269" t="str">
            <v>AFBL(Marketing)-14743</v>
          </cell>
          <cell r="D1269" t="str">
            <v>Md. Ahsan Habib</v>
          </cell>
          <cell r="E1269">
            <v>554621</v>
          </cell>
          <cell r="F1269" t="str">
            <v>Sales &amp; Marketing</v>
          </cell>
          <cell r="G1269" t="str">
            <v>Territory Sales Manager</v>
          </cell>
        </row>
        <row r="1270">
          <cell r="B1270">
            <v>554792</v>
          </cell>
          <cell r="C1270" t="str">
            <v>AFBL(Marketing)-14761</v>
          </cell>
          <cell r="D1270" t="str">
            <v>Md. Arjue Hasan</v>
          </cell>
          <cell r="E1270">
            <v>554792</v>
          </cell>
          <cell r="F1270" t="str">
            <v>Sales &amp; Marketing</v>
          </cell>
          <cell r="G1270" t="str">
            <v>Territory Sales Manager</v>
          </cell>
        </row>
        <row r="1271">
          <cell r="B1271">
            <v>554798</v>
          </cell>
          <cell r="C1271" t="str">
            <v>FR6021</v>
          </cell>
          <cell r="D1271" t="str">
            <v>Md. Jakirul Islam</v>
          </cell>
          <cell r="E1271">
            <v>554798</v>
          </cell>
          <cell r="F1271" t="str">
            <v>Distribution</v>
          </cell>
          <cell r="G1271" t="str">
            <v>Executive</v>
          </cell>
        </row>
        <row r="1272">
          <cell r="B1272">
            <v>555162</v>
          </cell>
          <cell r="C1272" t="str">
            <v>FR6031</v>
          </cell>
          <cell r="D1272" t="str">
            <v>Md. Razaul Karim Khan</v>
          </cell>
          <cell r="E1272">
            <v>555162</v>
          </cell>
          <cell r="F1272" t="str">
            <v>Printing</v>
          </cell>
          <cell r="G1272" t="str">
            <v>Senior Executive</v>
          </cell>
        </row>
        <row r="1273">
          <cell r="B1273">
            <v>555265</v>
          </cell>
          <cell r="C1273" t="str">
            <v>AFBL-R3461</v>
          </cell>
          <cell r="D1273" t="str">
            <v>Md. Alsaba Soikat</v>
          </cell>
          <cell r="E1273">
            <v>555265</v>
          </cell>
          <cell r="F1273" t="str">
            <v>HR</v>
          </cell>
          <cell r="G1273" t="str">
            <v>Senior Executive</v>
          </cell>
        </row>
        <row r="1274">
          <cell r="B1274">
            <v>555280</v>
          </cell>
          <cell r="C1274" t="str">
            <v>AFBL(Marketing)-15000</v>
          </cell>
          <cell r="D1274" t="str">
            <v>Mohammad Hossain</v>
          </cell>
          <cell r="E1274">
            <v>555280</v>
          </cell>
          <cell r="F1274" t="str">
            <v>Sales &amp; Marketing</v>
          </cell>
          <cell r="G1274" t="str">
            <v>Area Sales Manager</v>
          </cell>
        </row>
        <row r="1275">
          <cell r="B1275">
            <v>555281</v>
          </cell>
          <cell r="C1275" t="str">
            <v>AFBL(Marketing)-15001</v>
          </cell>
          <cell r="D1275" t="str">
            <v>Md Farid Ahmed</v>
          </cell>
          <cell r="E1275">
            <v>555281</v>
          </cell>
          <cell r="F1275" t="str">
            <v>Sales &amp; Marketing</v>
          </cell>
          <cell r="G1275" t="str">
            <v>Area Sales Manager</v>
          </cell>
        </row>
        <row r="1276">
          <cell r="B1276">
            <v>555340</v>
          </cell>
          <cell r="C1276" t="str">
            <v>FR6033</v>
          </cell>
          <cell r="D1276" t="str">
            <v>Md. Riyad Hossain</v>
          </cell>
          <cell r="E1276">
            <v>555340</v>
          </cell>
          <cell r="F1276" t="str">
            <v xml:space="preserve">Power </v>
          </cell>
          <cell r="G1276" t="str">
            <v>Engineer</v>
          </cell>
        </row>
        <row r="1277">
          <cell r="B1277">
            <v>555343</v>
          </cell>
          <cell r="C1277" t="str">
            <v>FR6034</v>
          </cell>
          <cell r="D1277" t="str">
            <v>Shah Md. Hafizul Islam</v>
          </cell>
          <cell r="E1277">
            <v>555343</v>
          </cell>
          <cell r="F1277" t="str">
            <v>Quality Control</v>
          </cell>
          <cell r="G1277" t="str">
            <v>Junior Executive</v>
          </cell>
        </row>
        <row r="1278">
          <cell r="B1278">
            <v>555350</v>
          </cell>
          <cell r="C1278" t="str">
            <v>FR6035</v>
          </cell>
          <cell r="D1278" t="str">
            <v>Md. Atik Hasan</v>
          </cell>
          <cell r="E1278">
            <v>555350</v>
          </cell>
          <cell r="F1278" t="str">
            <v>Mechanical</v>
          </cell>
          <cell r="G1278" t="str">
            <v>Engineer</v>
          </cell>
        </row>
        <row r="1279">
          <cell r="B1279">
            <v>555657</v>
          </cell>
          <cell r="C1279" t="str">
            <v>FR6044</v>
          </cell>
          <cell r="D1279" t="str">
            <v>Faysal Sikder</v>
          </cell>
          <cell r="E1279">
            <v>555657</v>
          </cell>
          <cell r="F1279" t="str">
            <v>Transport</v>
          </cell>
          <cell r="G1279" t="str">
            <v>Junior Executive</v>
          </cell>
        </row>
        <row r="1280">
          <cell r="B1280">
            <v>555660</v>
          </cell>
          <cell r="C1280" t="str">
            <v>FR6046</v>
          </cell>
          <cell r="D1280" t="str">
            <v>Md. Mamunar Rashid</v>
          </cell>
          <cell r="E1280">
            <v>555660</v>
          </cell>
          <cell r="F1280" t="str">
            <v>Resource Management &amp; Development</v>
          </cell>
          <cell r="G1280" t="str">
            <v>Executive</v>
          </cell>
        </row>
        <row r="1281">
          <cell r="B1281">
            <v>555685</v>
          </cell>
          <cell r="C1281" t="str">
            <v>FR6065</v>
          </cell>
          <cell r="D1281" t="str">
            <v>Md. Shamim Hossain</v>
          </cell>
          <cell r="E1281">
            <v>555685</v>
          </cell>
          <cell r="F1281" t="str">
            <v>Distribution</v>
          </cell>
          <cell r="G1281" t="str">
            <v>Junior Executive</v>
          </cell>
        </row>
        <row r="1282">
          <cell r="B1282">
            <v>555710</v>
          </cell>
          <cell r="C1282" t="str">
            <v>FR6067</v>
          </cell>
          <cell r="D1282" t="str">
            <v>Rakib Hasan</v>
          </cell>
          <cell r="E1282">
            <v>555710</v>
          </cell>
          <cell r="F1282" t="str">
            <v>Mechanical</v>
          </cell>
          <cell r="G1282" t="str">
            <v>Engineer</v>
          </cell>
        </row>
        <row r="1283">
          <cell r="B1283">
            <v>555734</v>
          </cell>
          <cell r="C1283" t="str">
            <v>AFBL-R3463</v>
          </cell>
          <cell r="D1283" t="str">
            <v>Shaffat Ahmed</v>
          </cell>
          <cell r="E1283">
            <v>555734</v>
          </cell>
          <cell r="F1283" t="str">
            <v>Accounts And Finance</v>
          </cell>
          <cell r="G1283" t="str">
            <v>Executive</v>
          </cell>
        </row>
        <row r="1284">
          <cell r="B1284">
            <v>555741</v>
          </cell>
          <cell r="C1284" t="str">
            <v>FR6072</v>
          </cell>
          <cell r="D1284" t="str">
            <v>Mohammad Shahinur Islam</v>
          </cell>
          <cell r="E1284">
            <v>555741</v>
          </cell>
          <cell r="F1284" t="str">
            <v>Accounts And Finance</v>
          </cell>
          <cell r="G1284" t="str">
            <v>Junior Executive</v>
          </cell>
        </row>
        <row r="1285">
          <cell r="B1285">
            <v>555764</v>
          </cell>
          <cell r="C1285" t="str">
            <v>AFBL-R3464</v>
          </cell>
          <cell r="D1285" t="str">
            <v>Md. Didarul Islam</v>
          </cell>
          <cell r="E1285">
            <v>555764</v>
          </cell>
          <cell r="F1285" t="str">
            <v>Legal Affairs</v>
          </cell>
          <cell r="G1285" t="str">
            <v>Executive</v>
          </cell>
        </row>
        <row r="1286">
          <cell r="B1286">
            <v>555807</v>
          </cell>
          <cell r="C1286" t="str">
            <v>AFBL-R3465</v>
          </cell>
          <cell r="D1286" t="str">
            <v>Md. Waheduzzaman</v>
          </cell>
          <cell r="E1286">
            <v>555807</v>
          </cell>
          <cell r="F1286" t="str">
            <v>HR</v>
          </cell>
          <cell r="G1286" t="str">
            <v>Manager</v>
          </cell>
        </row>
        <row r="1287">
          <cell r="B1287">
            <v>555808</v>
          </cell>
          <cell r="C1287" t="str">
            <v>AFBL-R3466</v>
          </cell>
          <cell r="D1287" t="str">
            <v xml:space="preserve">Ajmain Abresam </v>
          </cell>
          <cell r="E1287">
            <v>555808</v>
          </cell>
          <cell r="F1287" t="str">
            <v>Business Development &amp; Research</v>
          </cell>
          <cell r="G1287" t="str">
            <v>Executive</v>
          </cell>
        </row>
        <row r="1288">
          <cell r="B1288">
            <v>555899</v>
          </cell>
          <cell r="C1288" t="str">
            <v>AFBL(Hob)-427</v>
          </cell>
          <cell r="D1288" t="str">
            <v>Dr. Sumiya Reza</v>
          </cell>
          <cell r="E1288">
            <v>555899</v>
          </cell>
          <cell r="F1288" t="str">
            <v>Admin</v>
          </cell>
          <cell r="G1288" t="str">
            <v>Medical Officer</v>
          </cell>
        </row>
        <row r="1289">
          <cell r="B1289">
            <v>556013</v>
          </cell>
          <cell r="C1289" t="str">
            <v>FR6108</v>
          </cell>
          <cell r="D1289" t="str">
            <v>Md. Abdur Rahman</v>
          </cell>
          <cell r="E1289">
            <v>556013</v>
          </cell>
          <cell r="F1289" t="str">
            <v xml:space="preserve">Power </v>
          </cell>
          <cell r="G1289" t="str">
            <v>Senior Engineer</v>
          </cell>
        </row>
        <row r="1290">
          <cell r="B1290">
            <v>556035</v>
          </cell>
          <cell r="C1290" t="str">
            <v>FR6109</v>
          </cell>
          <cell r="D1290" t="str">
            <v>Md. Razaul Karim</v>
          </cell>
          <cell r="E1290">
            <v>556035</v>
          </cell>
          <cell r="F1290" t="str">
            <v>Quality Control</v>
          </cell>
          <cell r="G1290" t="str">
            <v>Executive</v>
          </cell>
        </row>
        <row r="1291">
          <cell r="B1291">
            <v>556202</v>
          </cell>
          <cell r="C1291" t="str">
            <v>AFBL(Hob)-434</v>
          </cell>
          <cell r="D1291" t="str">
            <v>Md. Shahedul Islam Setu</v>
          </cell>
          <cell r="E1291">
            <v>556202</v>
          </cell>
          <cell r="F1291" t="str">
            <v>Admin</v>
          </cell>
          <cell r="G1291" t="str">
            <v>Junior Executive</v>
          </cell>
        </row>
        <row r="1292">
          <cell r="B1292">
            <v>556409</v>
          </cell>
          <cell r="C1292" t="str">
            <v>AFBL-R3469</v>
          </cell>
          <cell r="D1292" t="str">
            <v>Tufajjal Hasan</v>
          </cell>
          <cell r="E1292">
            <v>556409</v>
          </cell>
          <cell r="F1292" t="str">
            <v>Internal Audit &amp; Compliance</v>
          </cell>
          <cell r="G1292" t="str">
            <v>Executive</v>
          </cell>
        </row>
        <row r="1293">
          <cell r="B1293">
            <v>556410</v>
          </cell>
          <cell r="C1293" t="str">
            <v>AFBL-R3470</v>
          </cell>
          <cell r="D1293" t="str">
            <v>Md. Abu Bokar Seddik</v>
          </cell>
          <cell r="E1293">
            <v>556410</v>
          </cell>
          <cell r="F1293" t="str">
            <v>Admin</v>
          </cell>
          <cell r="G1293" t="str">
            <v>Junior Executive</v>
          </cell>
        </row>
        <row r="1294">
          <cell r="B1294">
            <v>556435</v>
          </cell>
          <cell r="C1294" t="str">
            <v>FR6122</v>
          </cell>
          <cell r="D1294" t="str">
            <v>Md. Emran Ali</v>
          </cell>
          <cell r="E1294">
            <v>556435</v>
          </cell>
          <cell r="F1294" t="str">
            <v>Quality Control</v>
          </cell>
          <cell r="G1294" t="str">
            <v>Executive</v>
          </cell>
        </row>
        <row r="1295">
          <cell r="B1295">
            <v>556444</v>
          </cell>
          <cell r="C1295" t="str">
            <v>FR6124</v>
          </cell>
          <cell r="D1295" t="str">
            <v xml:space="preserve">Omar Faruk </v>
          </cell>
          <cell r="E1295">
            <v>556444</v>
          </cell>
          <cell r="F1295" t="str">
            <v>Quality Control</v>
          </cell>
          <cell r="G1295" t="str">
            <v>Junior Executive</v>
          </cell>
        </row>
        <row r="1296">
          <cell r="B1296">
            <v>556448</v>
          </cell>
          <cell r="C1296" t="str">
            <v>FR6125</v>
          </cell>
          <cell r="D1296" t="str">
            <v>Md. Naim Sikder</v>
          </cell>
          <cell r="E1296">
            <v>556448</v>
          </cell>
          <cell r="F1296" t="str">
            <v>Store</v>
          </cell>
          <cell r="G1296" t="str">
            <v>Junior Executive</v>
          </cell>
        </row>
        <row r="1297">
          <cell r="B1297">
            <v>556452</v>
          </cell>
          <cell r="C1297" t="str">
            <v>FR6126</v>
          </cell>
          <cell r="D1297" t="str">
            <v>Md. Mominur Rahman</v>
          </cell>
          <cell r="E1297">
            <v>556452</v>
          </cell>
          <cell r="F1297" t="str">
            <v>Hygine</v>
          </cell>
          <cell r="G1297" t="str">
            <v>Executive</v>
          </cell>
        </row>
        <row r="1298">
          <cell r="B1298">
            <v>556453</v>
          </cell>
          <cell r="C1298" t="str">
            <v>FR6127</v>
          </cell>
          <cell r="D1298" t="str">
            <v>Md. Foridul Islam</v>
          </cell>
          <cell r="E1298">
            <v>556453</v>
          </cell>
          <cell r="F1298" t="str">
            <v>Vat Department</v>
          </cell>
          <cell r="G1298" t="str">
            <v>Junior Executive</v>
          </cell>
        </row>
        <row r="1299">
          <cell r="B1299">
            <v>556524</v>
          </cell>
          <cell r="C1299" t="str">
            <v>AFBL-R3476</v>
          </cell>
          <cell r="D1299" t="str">
            <v>Md. Monir Hossain</v>
          </cell>
          <cell r="E1299">
            <v>556524</v>
          </cell>
          <cell r="F1299" t="str">
            <v>Accounts And Finance</v>
          </cell>
          <cell r="G1299" t="str">
            <v>Junior Executive</v>
          </cell>
        </row>
        <row r="1300">
          <cell r="B1300">
            <v>556526</v>
          </cell>
          <cell r="C1300" t="str">
            <v>AFBL(Hob)-443</v>
          </cell>
          <cell r="D1300" t="str">
            <v>Md Saiful Islam</v>
          </cell>
          <cell r="E1300">
            <v>556526</v>
          </cell>
          <cell r="F1300" t="str">
            <v>Store</v>
          </cell>
          <cell r="G1300" t="str">
            <v>Junior Executive</v>
          </cell>
        </row>
        <row r="1301">
          <cell r="B1301">
            <v>556529</v>
          </cell>
          <cell r="C1301" t="str">
            <v>AFBL(Marketing)-15499</v>
          </cell>
          <cell r="D1301" t="str">
            <v>G.M. Zakir Hossain</v>
          </cell>
          <cell r="E1301">
            <v>556529</v>
          </cell>
          <cell r="F1301" t="str">
            <v>Sales &amp; Marketing</v>
          </cell>
          <cell r="G1301" t="str">
            <v>Regional Sales Manager</v>
          </cell>
        </row>
        <row r="1302">
          <cell r="B1302">
            <v>556551</v>
          </cell>
          <cell r="C1302" t="str">
            <v>AFBL(Marketing)-15501</v>
          </cell>
          <cell r="D1302" t="str">
            <v>Md. Shahriar Rahmanoishorjo</v>
          </cell>
          <cell r="E1302">
            <v>556551</v>
          </cell>
          <cell r="F1302" t="str">
            <v>Sales &amp; Marketing</v>
          </cell>
          <cell r="G1302" t="str">
            <v>Territory Sales Manager</v>
          </cell>
        </row>
        <row r="1303">
          <cell r="B1303">
            <v>556553</v>
          </cell>
          <cell r="C1303" t="str">
            <v>AFBL(Marketing)-15504</v>
          </cell>
          <cell r="D1303" t="str">
            <v>Sazzadur Rahman Shawon</v>
          </cell>
          <cell r="E1303">
            <v>556553</v>
          </cell>
          <cell r="F1303" t="str">
            <v>Sales &amp; Marketing</v>
          </cell>
          <cell r="G1303" t="str">
            <v>Territory Sales Manager</v>
          </cell>
        </row>
        <row r="1304">
          <cell r="B1304">
            <v>556559</v>
          </cell>
          <cell r="C1304" t="str">
            <v>AFBL(Marketing)-15510</v>
          </cell>
          <cell r="D1304" t="str">
            <v>Kazim Ali Khan Mohon Gazi</v>
          </cell>
          <cell r="E1304">
            <v>556559</v>
          </cell>
          <cell r="F1304" t="str">
            <v>Sales &amp; Marketing</v>
          </cell>
          <cell r="G1304" t="str">
            <v>Territory Sales Manager</v>
          </cell>
        </row>
        <row r="1305">
          <cell r="B1305">
            <v>556561</v>
          </cell>
          <cell r="C1305" t="str">
            <v>AFBL(Marketing)-15512</v>
          </cell>
          <cell r="D1305" t="str">
            <v>Ismail Hossain</v>
          </cell>
          <cell r="E1305">
            <v>556561</v>
          </cell>
          <cell r="F1305" t="str">
            <v>Sales &amp; Marketing</v>
          </cell>
          <cell r="G1305" t="str">
            <v>Territory Sales Manager</v>
          </cell>
        </row>
        <row r="1306">
          <cell r="B1306">
            <v>556562</v>
          </cell>
          <cell r="C1306" t="str">
            <v>AFBL(Marketing)-15513</v>
          </cell>
          <cell r="D1306" t="str">
            <v>Md. Shamim Mia</v>
          </cell>
          <cell r="E1306">
            <v>556562</v>
          </cell>
          <cell r="F1306" t="str">
            <v>Sales &amp; Marketing</v>
          </cell>
          <cell r="G1306" t="str">
            <v>Territory Sales Manager</v>
          </cell>
        </row>
        <row r="1307">
          <cell r="B1307">
            <v>556563</v>
          </cell>
          <cell r="C1307" t="str">
            <v>AFBL(Marketing)-15514</v>
          </cell>
          <cell r="D1307" t="str">
            <v>Md. Abbas Ali</v>
          </cell>
          <cell r="E1307">
            <v>556563</v>
          </cell>
          <cell r="F1307" t="str">
            <v>Sales &amp; Marketing</v>
          </cell>
          <cell r="G1307" t="str">
            <v>Territory Sales Manager</v>
          </cell>
        </row>
        <row r="1308">
          <cell r="B1308">
            <v>556568</v>
          </cell>
          <cell r="C1308" t="str">
            <v>AFBL(Marketing)-15519</v>
          </cell>
          <cell r="D1308" t="str">
            <v>Md. Kalam Sarder</v>
          </cell>
          <cell r="E1308">
            <v>556568</v>
          </cell>
          <cell r="F1308" t="str">
            <v>Sales &amp; Marketing</v>
          </cell>
          <cell r="G1308" t="str">
            <v>Senior Territory Sales Manager</v>
          </cell>
        </row>
        <row r="1309">
          <cell r="B1309">
            <v>556630</v>
          </cell>
          <cell r="C1309" t="str">
            <v>AFBL-R3472</v>
          </cell>
          <cell r="D1309" t="str">
            <v>Md. Tanveer Islam</v>
          </cell>
          <cell r="E1309">
            <v>556630</v>
          </cell>
          <cell r="F1309" t="str">
            <v>Export</v>
          </cell>
          <cell r="G1309" t="str">
            <v>General Manager</v>
          </cell>
        </row>
        <row r="1310">
          <cell r="B1310">
            <v>556677</v>
          </cell>
          <cell r="C1310" t="str">
            <v>FR6151</v>
          </cell>
          <cell r="D1310" t="str">
            <v>Md. Nuruzzaman Piash</v>
          </cell>
          <cell r="E1310">
            <v>556677</v>
          </cell>
          <cell r="F1310" t="str">
            <v>Store</v>
          </cell>
          <cell r="G1310" t="str">
            <v>Junior Executive</v>
          </cell>
        </row>
        <row r="1311">
          <cell r="B1311">
            <v>556690</v>
          </cell>
          <cell r="C1311" t="str">
            <v>Intern-196</v>
          </cell>
          <cell r="D1311" t="str">
            <v>Md. Samiul Islam Sakib</v>
          </cell>
          <cell r="E1311">
            <v>556690</v>
          </cell>
          <cell r="F1311" t="str">
            <v>Sales Admin</v>
          </cell>
          <cell r="G1311" t="str">
            <v>Intern</v>
          </cell>
        </row>
        <row r="1312">
          <cell r="B1312">
            <v>556691</v>
          </cell>
          <cell r="C1312" t="str">
            <v>AFBL-R3474</v>
          </cell>
          <cell r="D1312" t="str">
            <v>Md. Sakib Khan</v>
          </cell>
          <cell r="E1312">
            <v>556691</v>
          </cell>
          <cell r="F1312" t="str">
            <v>Internal Audit &amp; Compliance</v>
          </cell>
          <cell r="G1312" t="str">
            <v>Executive</v>
          </cell>
        </row>
        <row r="1313">
          <cell r="B1313">
            <v>556699</v>
          </cell>
          <cell r="C1313" t="str">
            <v>FR6155</v>
          </cell>
          <cell r="D1313" t="str">
            <v>Shahadat Hossan</v>
          </cell>
          <cell r="E1313">
            <v>556699</v>
          </cell>
          <cell r="F1313" t="str">
            <v>New Project &amp; Development</v>
          </cell>
          <cell r="G1313" t="str">
            <v>Executive</v>
          </cell>
        </row>
        <row r="1314">
          <cell r="B1314">
            <v>556718</v>
          </cell>
          <cell r="C1314" t="str">
            <v>AFBL(Hob)-444</v>
          </cell>
          <cell r="D1314" t="str">
            <v>G. M. Farhad</v>
          </cell>
          <cell r="E1314">
            <v>556718</v>
          </cell>
          <cell r="F1314" t="str">
            <v>Electrical</v>
          </cell>
          <cell r="G1314" t="str">
            <v>Engineer</v>
          </cell>
        </row>
        <row r="1315">
          <cell r="B1315">
            <v>556968</v>
          </cell>
          <cell r="C1315" t="str">
            <v>AFBL-R3475</v>
          </cell>
          <cell r="D1315" t="str">
            <v>Md. Tariqul Islam</v>
          </cell>
          <cell r="E1315">
            <v>556968</v>
          </cell>
          <cell r="F1315" t="str">
            <v>Recycling</v>
          </cell>
          <cell r="G1315" t="str">
            <v>Senior Manager</v>
          </cell>
        </row>
        <row r="1316">
          <cell r="B1316">
            <v>557223</v>
          </cell>
          <cell r="C1316" t="str">
            <v>AFBL-R3477</v>
          </cell>
          <cell r="D1316" t="str">
            <v>Shehab Al Mamun</v>
          </cell>
          <cell r="E1316">
            <v>557223</v>
          </cell>
          <cell r="F1316" t="str">
            <v>Digital Marketing</v>
          </cell>
          <cell r="G1316" t="str">
            <v>Deputy Manager</v>
          </cell>
        </row>
        <row r="1317">
          <cell r="B1317">
            <v>557226</v>
          </cell>
          <cell r="C1317" t="str">
            <v>Intern-204</v>
          </cell>
          <cell r="D1317" t="str">
            <v>Md. Jubayed Al Hasan Chowdhury</v>
          </cell>
          <cell r="E1317">
            <v>557226</v>
          </cell>
          <cell r="F1317" t="str">
            <v>Supply Chain</v>
          </cell>
          <cell r="G1317" t="str">
            <v>Intern</v>
          </cell>
        </row>
        <row r="1318">
          <cell r="B1318">
            <v>557235</v>
          </cell>
          <cell r="C1318" t="str">
            <v>FR6172</v>
          </cell>
          <cell r="D1318" t="str">
            <v>Shourov Alam Shishir</v>
          </cell>
          <cell r="E1318">
            <v>557235</v>
          </cell>
          <cell r="F1318" t="str">
            <v>Quality Control</v>
          </cell>
          <cell r="G1318" t="str">
            <v>Junior Executive</v>
          </cell>
        </row>
        <row r="1319">
          <cell r="B1319">
            <v>557441</v>
          </cell>
          <cell r="C1319" t="str">
            <v>AFBL-R3482</v>
          </cell>
          <cell r="D1319" t="str">
            <v>Md. Musabbir Hasan</v>
          </cell>
          <cell r="E1319">
            <v>557441</v>
          </cell>
          <cell r="F1319" t="str">
            <v>Market Audit &amp; Business Intelligence</v>
          </cell>
          <cell r="G1319" t="str">
            <v>Executive</v>
          </cell>
        </row>
        <row r="1320">
          <cell r="B1320">
            <v>557537</v>
          </cell>
          <cell r="C1320" t="str">
            <v>FR6247</v>
          </cell>
          <cell r="D1320" t="str">
            <v>Md. Salman Hossain</v>
          </cell>
          <cell r="E1320">
            <v>557537</v>
          </cell>
          <cell r="F1320" t="str">
            <v>CSD</v>
          </cell>
          <cell r="G1320" t="str">
            <v>Executive</v>
          </cell>
        </row>
        <row r="1321">
          <cell r="B1321">
            <v>557543</v>
          </cell>
          <cell r="C1321" t="str">
            <v>FR6252</v>
          </cell>
          <cell r="D1321" t="str">
            <v>Md.Raihan Abedin</v>
          </cell>
          <cell r="E1321">
            <v>557543</v>
          </cell>
          <cell r="F1321" t="str">
            <v>PPS</v>
          </cell>
          <cell r="G1321" t="str">
            <v>Junior Executive</v>
          </cell>
        </row>
        <row r="1322">
          <cell r="B1322">
            <v>557593</v>
          </cell>
          <cell r="C1322" t="str">
            <v>AFBL(Marketing)-15997</v>
          </cell>
          <cell r="D1322" t="str">
            <v>Amitav Kumer Mohanto (Amit)</v>
          </cell>
          <cell r="E1322">
            <v>557593</v>
          </cell>
          <cell r="F1322" t="str">
            <v>Sales &amp; Marketing</v>
          </cell>
          <cell r="G1322" t="str">
            <v>Regional Sales Manager</v>
          </cell>
        </row>
        <row r="1323">
          <cell r="B1323">
            <v>557594</v>
          </cell>
          <cell r="C1323" t="str">
            <v>AFBL(Marketing)-15998</v>
          </cell>
          <cell r="D1323" t="str">
            <v>Md. Mehedi Hasan</v>
          </cell>
          <cell r="E1323">
            <v>557594</v>
          </cell>
          <cell r="F1323" t="str">
            <v>Sales &amp; Marketing</v>
          </cell>
          <cell r="G1323" t="str">
            <v>Territory Sales Manager</v>
          </cell>
        </row>
        <row r="1324">
          <cell r="B1324">
            <v>557595</v>
          </cell>
          <cell r="C1324" t="str">
            <v>AFBL(Marketing)-15999</v>
          </cell>
          <cell r="D1324" t="str">
            <v>Khalid Mahammad Fattah</v>
          </cell>
          <cell r="E1324">
            <v>557595</v>
          </cell>
          <cell r="F1324" t="str">
            <v>Sales &amp; Marketing</v>
          </cell>
          <cell r="G1324" t="str">
            <v>Senior Territory Sales Manager</v>
          </cell>
        </row>
        <row r="1325">
          <cell r="B1325">
            <v>557596</v>
          </cell>
          <cell r="C1325" t="str">
            <v>AFBL(Marketing)-16000</v>
          </cell>
          <cell r="D1325" t="str">
            <v>Md. Minhajul Hasan Rafi</v>
          </cell>
          <cell r="E1325">
            <v>557596</v>
          </cell>
          <cell r="F1325" t="str">
            <v>Sales &amp; Marketing</v>
          </cell>
          <cell r="G1325" t="str">
            <v>Territory Sales Manager</v>
          </cell>
        </row>
        <row r="1326">
          <cell r="B1326">
            <v>557697</v>
          </cell>
          <cell r="C1326" t="str">
            <v>Intern-208</v>
          </cell>
          <cell r="D1326" t="str">
            <v>Md. Kanon Ahmed</v>
          </cell>
          <cell r="E1326">
            <v>557697</v>
          </cell>
          <cell r="F1326" t="str">
            <v>Creative</v>
          </cell>
          <cell r="G1326" t="str">
            <v>Intern</v>
          </cell>
        </row>
        <row r="1327">
          <cell r="B1327">
            <v>557698</v>
          </cell>
          <cell r="C1327" t="str">
            <v>Intern-209</v>
          </cell>
          <cell r="D1327" t="str">
            <v>Muhammad Ashik Mondol</v>
          </cell>
          <cell r="E1327">
            <v>557698</v>
          </cell>
          <cell r="F1327" t="str">
            <v>Creative</v>
          </cell>
          <cell r="G1327" t="str">
            <v>Intern</v>
          </cell>
        </row>
        <row r="1328">
          <cell r="B1328">
            <v>557699</v>
          </cell>
          <cell r="C1328" t="str">
            <v>AFBL-R3491</v>
          </cell>
          <cell r="D1328" t="str">
            <v>Shahadat Hossain Mehedi</v>
          </cell>
          <cell r="E1328">
            <v>557699</v>
          </cell>
          <cell r="F1328" t="str">
            <v>Business Development &amp; Research</v>
          </cell>
          <cell r="G1328" t="str">
            <v>Executive</v>
          </cell>
        </row>
        <row r="1329">
          <cell r="B1329">
            <v>557769</v>
          </cell>
          <cell r="C1329" t="str">
            <v>AFBL(Marketing)-16061</v>
          </cell>
          <cell r="D1329" t="str">
            <v>Md. Mijanur Rahman</v>
          </cell>
          <cell r="E1329">
            <v>557769</v>
          </cell>
          <cell r="F1329" t="str">
            <v>Sales &amp; Marketing</v>
          </cell>
          <cell r="G1329" t="str">
            <v>Regional Sales Manager</v>
          </cell>
        </row>
        <row r="1330">
          <cell r="B1330">
            <v>557783</v>
          </cell>
          <cell r="C1330" t="str">
            <v>AFBL(Marketing)-16064</v>
          </cell>
          <cell r="D1330" t="str">
            <v>Mohammad Abul Hasem</v>
          </cell>
          <cell r="E1330">
            <v>557783</v>
          </cell>
          <cell r="F1330" t="str">
            <v>Sales &amp; Marketing</v>
          </cell>
          <cell r="G1330" t="str">
            <v>Area Sales Manager</v>
          </cell>
        </row>
        <row r="1331">
          <cell r="B1331">
            <v>557834</v>
          </cell>
          <cell r="C1331" t="str">
            <v>FR6261</v>
          </cell>
          <cell r="D1331" t="str">
            <v>Md. Saif Uddin</v>
          </cell>
          <cell r="E1331">
            <v>557834</v>
          </cell>
          <cell r="F1331" t="str">
            <v>Electrical</v>
          </cell>
          <cell r="G1331" t="str">
            <v>Assistant Manager</v>
          </cell>
        </row>
        <row r="1332">
          <cell r="B1332">
            <v>557836</v>
          </cell>
          <cell r="C1332" t="str">
            <v>AFBL-R3497</v>
          </cell>
          <cell r="D1332" t="str">
            <v>Md. Liton Miah</v>
          </cell>
          <cell r="E1332">
            <v>557836</v>
          </cell>
          <cell r="F1332" t="str">
            <v>Admin</v>
          </cell>
          <cell r="G1332" t="str">
            <v>Assistant Manager</v>
          </cell>
        </row>
        <row r="1333">
          <cell r="B1333">
            <v>557839</v>
          </cell>
          <cell r="C1333" t="str">
            <v>FR6262</v>
          </cell>
          <cell r="D1333" t="str">
            <v>Mir Shadit Hossain</v>
          </cell>
          <cell r="E1333">
            <v>557839</v>
          </cell>
          <cell r="F1333" t="str">
            <v>Marketing Resource</v>
          </cell>
          <cell r="G1333" t="str">
            <v>Executive</v>
          </cell>
        </row>
        <row r="1334">
          <cell r="B1334">
            <v>557843</v>
          </cell>
          <cell r="C1334" t="str">
            <v>FR6263</v>
          </cell>
          <cell r="D1334" t="str">
            <v>Md. Shahidul Islam</v>
          </cell>
          <cell r="E1334">
            <v>557843</v>
          </cell>
          <cell r="F1334" t="str">
            <v>Distribution</v>
          </cell>
          <cell r="G1334" t="str">
            <v>Executive</v>
          </cell>
        </row>
        <row r="1335">
          <cell r="B1335">
            <v>557847</v>
          </cell>
          <cell r="C1335" t="str">
            <v>AFBL(Marketing)-16081</v>
          </cell>
          <cell r="D1335" t="str">
            <v>Md. Mazedul Islam</v>
          </cell>
          <cell r="E1335">
            <v>557847</v>
          </cell>
          <cell r="F1335" t="str">
            <v>Sales &amp; Marketing</v>
          </cell>
          <cell r="G1335" t="str">
            <v>Regional Sales Manager</v>
          </cell>
        </row>
        <row r="1336">
          <cell r="B1336">
            <v>557848</v>
          </cell>
          <cell r="C1336" t="str">
            <v>AFBL(Marketing)-16083</v>
          </cell>
          <cell r="D1336" t="str">
            <v>Md. Shahajaman Shamrat</v>
          </cell>
          <cell r="E1336">
            <v>557848</v>
          </cell>
          <cell r="F1336" t="str">
            <v>Sales &amp; Marketing</v>
          </cell>
          <cell r="G1336" t="str">
            <v>Regional Sales Manager</v>
          </cell>
        </row>
        <row r="1337">
          <cell r="B1337">
            <v>557850</v>
          </cell>
          <cell r="C1337" t="str">
            <v>FR6265</v>
          </cell>
          <cell r="D1337" t="str">
            <v>Abid Hasan</v>
          </cell>
          <cell r="E1337">
            <v>557850</v>
          </cell>
          <cell r="F1337" t="str">
            <v>CSD</v>
          </cell>
          <cell r="G1337" t="str">
            <v>Executive</v>
          </cell>
        </row>
        <row r="1338">
          <cell r="B1338">
            <v>557851</v>
          </cell>
          <cell r="C1338" t="str">
            <v>FR6266</v>
          </cell>
          <cell r="D1338" t="str">
            <v>Md. Thouhidul Islam</v>
          </cell>
          <cell r="E1338">
            <v>557851</v>
          </cell>
          <cell r="F1338" t="str">
            <v>Store</v>
          </cell>
          <cell r="G1338" t="str">
            <v>Junior Executive</v>
          </cell>
        </row>
        <row r="1339">
          <cell r="B1339">
            <v>557857</v>
          </cell>
          <cell r="C1339" t="str">
            <v>FR6271</v>
          </cell>
          <cell r="D1339" t="str">
            <v>Saiful Islam</v>
          </cell>
          <cell r="E1339">
            <v>557857</v>
          </cell>
          <cell r="F1339" t="str">
            <v>Electrical</v>
          </cell>
          <cell r="G1339" t="str">
            <v>Assistant Engineer</v>
          </cell>
        </row>
        <row r="1340">
          <cell r="B1340">
            <v>557867</v>
          </cell>
          <cell r="C1340" t="str">
            <v>AFBL(Hob)-451</v>
          </cell>
          <cell r="D1340" t="str">
            <v>Md Amdadul Haque</v>
          </cell>
          <cell r="E1340">
            <v>557867</v>
          </cell>
          <cell r="F1340" t="str">
            <v>Transport</v>
          </cell>
          <cell r="G1340" t="str">
            <v>Junior Executive</v>
          </cell>
        </row>
        <row r="1341">
          <cell r="B1341">
            <v>557884</v>
          </cell>
          <cell r="C1341" t="str">
            <v>AFBL-R3498</v>
          </cell>
          <cell r="D1341" t="str">
            <v>Md. Shibbir Ahmed</v>
          </cell>
          <cell r="E1341">
            <v>557884</v>
          </cell>
          <cell r="F1341" t="str">
            <v>New Project &amp; Development</v>
          </cell>
          <cell r="G1341" t="str">
            <v>Executive</v>
          </cell>
        </row>
        <row r="1342">
          <cell r="B1342">
            <v>557924</v>
          </cell>
          <cell r="C1342" t="str">
            <v>AFBL(Marketing)-16280</v>
          </cell>
          <cell r="D1342" t="str">
            <v>Md. Mehedi Hassan Taiab</v>
          </cell>
          <cell r="E1342">
            <v>557924</v>
          </cell>
          <cell r="F1342" t="str">
            <v>Sales &amp; Marketing</v>
          </cell>
          <cell r="G1342" t="str">
            <v>Territory Sales Manager</v>
          </cell>
        </row>
        <row r="1343">
          <cell r="B1343">
            <v>558008</v>
          </cell>
          <cell r="C1343" t="str">
            <v>AFBL-R3504</v>
          </cell>
          <cell r="D1343" t="str">
            <v>Mehedi Hasan</v>
          </cell>
          <cell r="E1343">
            <v>558008</v>
          </cell>
          <cell r="F1343" t="str">
            <v>Admin</v>
          </cell>
          <cell r="G1343" t="str">
            <v>Junior Executive</v>
          </cell>
        </row>
        <row r="1344">
          <cell r="B1344">
            <v>558064</v>
          </cell>
          <cell r="C1344" t="str">
            <v>AFBL-R3505</v>
          </cell>
          <cell r="D1344" t="str">
            <v>Shafique Uddin Ahmed</v>
          </cell>
          <cell r="E1344">
            <v>558064</v>
          </cell>
          <cell r="F1344" t="str">
            <v>Accounts And Finance</v>
          </cell>
          <cell r="G1344" t="str">
            <v>General Manager</v>
          </cell>
        </row>
        <row r="1345">
          <cell r="B1345">
            <v>558188</v>
          </cell>
          <cell r="C1345" t="str">
            <v>FR6349</v>
          </cell>
          <cell r="D1345" t="str">
            <v>Md. Sheikh Farid</v>
          </cell>
          <cell r="E1345">
            <v>558188</v>
          </cell>
          <cell r="F1345" t="str">
            <v>New Project &amp; Development</v>
          </cell>
          <cell r="G1345" t="str">
            <v>Executive</v>
          </cell>
        </row>
        <row r="1346">
          <cell r="B1346">
            <v>558194</v>
          </cell>
          <cell r="C1346" t="str">
            <v>Intern-211</v>
          </cell>
          <cell r="D1346" t="str">
            <v>Md. Sadman Kamal</v>
          </cell>
          <cell r="E1346">
            <v>558194</v>
          </cell>
          <cell r="F1346" t="str">
            <v>Sales Admin</v>
          </cell>
          <cell r="G1346" t="str">
            <v>Intern</v>
          </cell>
        </row>
        <row r="1347">
          <cell r="B1347">
            <v>558204</v>
          </cell>
          <cell r="C1347" t="str">
            <v>AFBL-R3506</v>
          </cell>
          <cell r="D1347" t="str">
            <v>Fathin Shadab Khan</v>
          </cell>
          <cell r="E1347">
            <v>558204</v>
          </cell>
          <cell r="F1347" t="str">
            <v>Regulatory Affairs</v>
          </cell>
          <cell r="G1347" t="str">
            <v>Executive</v>
          </cell>
        </row>
        <row r="1348">
          <cell r="B1348">
            <v>558215</v>
          </cell>
          <cell r="C1348" t="str">
            <v>FR6356</v>
          </cell>
          <cell r="D1348" t="str">
            <v>Md. Mehedi Hasan Rabby</v>
          </cell>
          <cell r="E1348">
            <v>558215</v>
          </cell>
          <cell r="F1348" t="str">
            <v>Transport</v>
          </cell>
          <cell r="G1348" t="str">
            <v>Junior Executive</v>
          </cell>
        </row>
        <row r="1349">
          <cell r="B1349">
            <v>558321</v>
          </cell>
          <cell r="C1349" t="str">
            <v>FR6360</v>
          </cell>
          <cell r="D1349" t="str">
            <v>Md. Noorul Islam</v>
          </cell>
          <cell r="E1349">
            <v>558321</v>
          </cell>
          <cell r="F1349" t="str">
            <v>Mechanical</v>
          </cell>
          <cell r="G1349" t="str">
            <v>Engineer</v>
          </cell>
        </row>
        <row r="1350">
          <cell r="B1350">
            <v>558329</v>
          </cell>
          <cell r="C1350" t="str">
            <v>FR6361</v>
          </cell>
          <cell r="D1350" t="str">
            <v>Al Mamum</v>
          </cell>
          <cell r="E1350">
            <v>558329</v>
          </cell>
          <cell r="F1350" t="str">
            <v>Store</v>
          </cell>
          <cell r="G1350" t="str">
            <v>Junior Executive</v>
          </cell>
        </row>
        <row r="1351">
          <cell r="B1351">
            <v>558331</v>
          </cell>
          <cell r="C1351" t="str">
            <v>FR6362</v>
          </cell>
          <cell r="D1351" t="str">
            <v xml:space="preserve">Md. Hridoy Hossain </v>
          </cell>
          <cell r="E1351">
            <v>558331</v>
          </cell>
          <cell r="F1351" t="str">
            <v>Quality Control</v>
          </cell>
          <cell r="G1351" t="str">
            <v>Junior Executive</v>
          </cell>
        </row>
        <row r="1352">
          <cell r="B1352">
            <v>558368</v>
          </cell>
          <cell r="C1352" t="str">
            <v>AFBL-R3507</v>
          </cell>
          <cell r="D1352" t="str">
            <v>Sk. Moniruzzaman</v>
          </cell>
          <cell r="E1352">
            <v>558368</v>
          </cell>
          <cell r="F1352" t="str">
            <v>IT</v>
          </cell>
          <cell r="G1352" t="str">
            <v>Deputy General Manager</v>
          </cell>
        </row>
        <row r="1353">
          <cell r="B1353">
            <v>558441</v>
          </cell>
          <cell r="C1353" t="str">
            <v>AFBL-R3508</v>
          </cell>
          <cell r="D1353" t="str">
            <v>Md. Rahad Ahmad</v>
          </cell>
          <cell r="E1353">
            <v>558441</v>
          </cell>
          <cell r="F1353" t="str">
            <v>Sales Admin</v>
          </cell>
          <cell r="G1353" t="str">
            <v>Junior Executive</v>
          </cell>
        </row>
        <row r="1354">
          <cell r="B1354">
            <v>558528</v>
          </cell>
          <cell r="C1354" t="str">
            <v>AFBL(Marketing)-16278</v>
          </cell>
          <cell r="D1354" t="str">
            <v>Nafis Hamidul Islam</v>
          </cell>
          <cell r="E1354">
            <v>558528</v>
          </cell>
          <cell r="F1354" t="str">
            <v>Sales &amp; Marketing</v>
          </cell>
          <cell r="G1354" t="str">
            <v>Area Sales Manager</v>
          </cell>
        </row>
        <row r="1355">
          <cell r="B1355">
            <v>558533</v>
          </cell>
          <cell r="C1355" t="str">
            <v>AFBL(Hob)-465</v>
          </cell>
          <cell r="D1355" t="str">
            <v>Mukta Chandra Roy</v>
          </cell>
          <cell r="E1355">
            <v>558533</v>
          </cell>
          <cell r="F1355" t="str">
            <v>Resource Management &amp; Development</v>
          </cell>
          <cell r="G1355" t="str">
            <v>Junior Executive</v>
          </cell>
        </row>
        <row r="1356">
          <cell r="B1356">
            <v>558564</v>
          </cell>
          <cell r="C1356" t="str">
            <v>AFBL(Hob)-468</v>
          </cell>
          <cell r="D1356" t="str">
            <v>Bipul Sarkar</v>
          </cell>
          <cell r="E1356">
            <v>558564</v>
          </cell>
          <cell r="F1356" t="str">
            <v>New Project &amp; Development</v>
          </cell>
          <cell r="G1356" t="str">
            <v>Junior Executive</v>
          </cell>
        </row>
        <row r="1357">
          <cell r="B1357">
            <v>558572</v>
          </cell>
          <cell r="C1357" t="str">
            <v>AFBL(Hob)-469</v>
          </cell>
          <cell r="D1357" t="str">
            <v>Md Shorif Salehin</v>
          </cell>
          <cell r="E1357">
            <v>558572</v>
          </cell>
          <cell r="F1357" t="str">
            <v>New Project &amp; Development</v>
          </cell>
          <cell r="G1357" t="str">
            <v>Junior Executive</v>
          </cell>
        </row>
        <row r="1358">
          <cell r="B1358">
            <v>558599</v>
          </cell>
          <cell r="C1358" t="str">
            <v>AFBL-R3511</v>
          </cell>
          <cell r="D1358" t="str">
            <v>Md. Faysal Arafat</v>
          </cell>
          <cell r="E1358">
            <v>558599</v>
          </cell>
          <cell r="F1358" t="str">
            <v>Finance &amp; Accounts</v>
          </cell>
          <cell r="G1358" t="str">
            <v>Executive</v>
          </cell>
        </row>
        <row r="1359">
          <cell r="B1359">
            <v>558614</v>
          </cell>
          <cell r="C1359" t="str">
            <v>AFBL(Marketing)-16282</v>
          </cell>
          <cell r="D1359" t="str">
            <v>Ashik Mahmood</v>
          </cell>
          <cell r="E1359">
            <v>558614</v>
          </cell>
          <cell r="F1359" t="str">
            <v>Sales &amp; Marketing</v>
          </cell>
          <cell r="G1359" t="str">
            <v>Area Sales Manager</v>
          </cell>
        </row>
        <row r="1360">
          <cell r="B1360">
            <v>558615</v>
          </cell>
          <cell r="C1360" t="str">
            <v>AFBL(Marketing)-16283</v>
          </cell>
          <cell r="D1360" t="str">
            <v>Mohammad Yeasir Arafat Bhuyan</v>
          </cell>
          <cell r="E1360">
            <v>558615</v>
          </cell>
          <cell r="F1360" t="str">
            <v>Sales &amp; Marketing</v>
          </cell>
          <cell r="G1360" t="str">
            <v>Area Sales Manager</v>
          </cell>
        </row>
        <row r="1361">
          <cell r="B1361">
            <v>558618</v>
          </cell>
          <cell r="C1361" t="str">
            <v>AFBL(Marketing)-16284</v>
          </cell>
          <cell r="D1361" t="str">
            <v>Md. Zubair Hasan</v>
          </cell>
          <cell r="E1361">
            <v>558618</v>
          </cell>
          <cell r="F1361" t="str">
            <v>Sales &amp; Marketing</v>
          </cell>
          <cell r="G1361" t="str">
            <v>Area Sales Manager</v>
          </cell>
        </row>
        <row r="1362">
          <cell r="B1362">
            <v>558621</v>
          </cell>
          <cell r="C1362" t="str">
            <v>AFBL(Marketing)-16287</v>
          </cell>
          <cell r="D1362" t="str">
            <v>Md. Abdur Razzak Rana</v>
          </cell>
          <cell r="E1362">
            <v>558621</v>
          </cell>
          <cell r="F1362" t="str">
            <v>Sales &amp; Marketing</v>
          </cell>
          <cell r="G1362" t="str">
            <v>Territory Sales Manager</v>
          </cell>
        </row>
        <row r="1363">
          <cell r="B1363">
            <v>558622</v>
          </cell>
          <cell r="C1363" t="str">
            <v>AFBL(Marketing)-16288</v>
          </cell>
          <cell r="D1363" t="str">
            <v>Md. Nazmul Islam</v>
          </cell>
          <cell r="E1363">
            <v>558622</v>
          </cell>
          <cell r="F1363" t="str">
            <v>Sales &amp; Marketing</v>
          </cell>
          <cell r="G1363" t="str">
            <v>Territory Sales Manager</v>
          </cell>
        </row>
        <row r="1364">
          <cell r="B1364">
            <v>558626</v>
          </cell>
          <cell r="C1364" t="str">
            <v>AFBL(Marketing)-16289</v>
          </cell>
          <cell r="D1364" t="str">
            <v>Mazidul Islam</v>
          </cell>
          <cell r="E1364">
            <v>558626</v>
          </cell>
          <cell r="F1364" t="str">
            <v>Sales &amp; Marketing</v>
          </cell>
          <cell r="G1364" t="str">
            <v>Territory Sales Manager</v>
          </cell>
        </row>
        <row r="1365">
          <cell r="B1365">
            <v>558661</v>
          </cell>
          <cell r="C1365" t="str">
            <v>AFBL(Marketing)-16325</v>
          </cell>
          <cell r="D1365" t="str">
            <v>Md. Nazmul Huda Khandaker</v>
          </cell>
          <cell r="E1365">
            <v>558661</v>
          </cell>
          <cell r="F1365" t="str">
            <v>Sales &amp; Marketing</v>
          </cell>
          <cell r="G1365" t="str">
            <v>Area Sales Manager</v>
          </cell>
        </row>
        <row r="1366">
          <cell r="B1366">
            <v>558697</v>
          </cell>
          <cell r="C1366" t="str">
            <v>AFBL-R3512</v>
          </cell>
          <cell r="D1366" t="str">
            <v>Sree Nandan Paul</v>
          </cell>
          <cell r="E1366">
            <v>558697</v>
          </cell>
          <cell r="F1366" t="str">
            <v>Creative</v>
          </cell>
          <cell r="G1366" t="str">
            <v>Senior Executive</v>
          </cell>
        </row>
        <row r="1367">
          <cell r="B1367">
            <v>558699</v>
          </cell>
          <cell r="C1367" t="str">
            <v>AFBL(Marketing)-16291</v>
          </cell>
          <cell r="D1367" t="str">
            <v>Md. Amirul Islam</v>
          </cell>
          <cell r="E1367">
            <v>558699</v>
          </cell>
          <cell r="F1367" t="str">
            <v>Sales &amp; Marketing</v>
          </cell>
          <cell r="G1367" t="str">
            <v>Territory Sales Manager</v>
          </cell>
        </row>
        <row r="1368">
          <cell r="B1368">
            <v>558716</v>
          </cell>
          <cell r="C1368" t="str">
            <v>AFBL(Marketing)-16294</v>
          </cell>
          <cell r="D1368" t="str">
            <v>Nazrul Islam</v>
          </cell>
          <cell r="E1368">
            <v>558716</v>
          </cell>
          <cell r="F1368" t="str">
            <v>Sales &amp; Marketing</v>
          </cell>
          <cell r="G1368" t="str">
            <v>Territory Sales Manager</v>
          </cell>
        </row>
        <row r="1369">
          <cell r="B1369">
            <v>558754</v>
          </cell>
          <cell r="C1369" t="str">
            <v>AFBL(Marketing)-16293</v>
          </cell>
          <cell r="D1369" t="str">
            <v>Md. Nazmul Haque</v>
          </cell>
          <cell r="E1369">
            <v>558754</v>
          </cell>
          <cell r="F1369" t="str">
            <v>Sales &amp; Marketing</v>
          </cell>
          <cell r="G1369" t="str">
            <v>Territory Sales Manager</v>
          </cell>
        </row>
        <row r="1370">
          <cell r="B1370">
            <v>558789</v>
          </cell>
          <cell r="C1370" t="str">
            <v>AFBL(Marketing)-16333</v>
          </cell>
          <cell r="D1370" t="str">
            <v>Abdullah Al Mamun</v>
          </cell>
          <cell r="E1370">
            <v>558789</v>
          </cell>
          <cell r="F1370" t="str">
            <v>Sales &amp; Marketing</v>
          </cell>
          <cell r="G1370" t="str">
            <v>Territory Sales Manager</v>
          </cell>
        </row>
        <row r="1371">
          <cell r="B1371">
            <v>558792</v>
          </cell>
          <cell r="C1371" t="str">
            <v>AFBL(Marketing)-16334</v>
          </cell>
          <cell r="D1371" t="str">
            <v>Md. Emdad Hosain</v>
          </cell>
          <cell r="E1371">
            <v>558792</v>
          </cell>
          <cell r="F1371" t="str">
            <v>Sales &amp; Marketing</v>
          </cell>
          <cell r="G1371" t="str">
            <v>Territory Sales Manager</v>
          </cell>
        </row>
        <row r="1372">
          <cell r="B1372">
            <v>558793</v>
          </cell>
          <cell r="C1372" t="str">
            <v>AFBL(Marketing)-16335</v>
          </cell>
          <cell r="D1372" t="str">
            <v>Md. Atequr Rahaman</v>
          </cell>
          <cell r="E1372">
            <v>558793</v>
          </cell>
          <cell r="F1372" t="str">
            <v>Sales &amp; Marketing</v>
          </cell>
          <cell r="G1372" t="str">
            <v>Territory Sales Manager</v>
          </cell>
        </row>
        <row r="1373">
          <cell r="B1373">
            <v>558822</v>
          </cell>
          <cell r="C1373" t="str">
            <v>AFBL(Hob)-472</v>
          </cell>
          <cell r="D1373" t="str">
            <v>Mohammad Rakib Hasan Tipu</v>
          </cell>
          <cell r="E1373">
            <v>558822</v>
          </cell>
          <cell r="F1373" t="str">
            <v>MIS</v>
          </cell>
          <cell r="G1373" t="str">
            <v>Executive</v>
          </cell>
        </row>
        <row r="1374">
          <cell r="B1374">
            <v>558842</v>
          </cell>
          <cell r="C1374" t="str">
            <v>APML-595</v>
          </cell>
          <cell r="D1374" t="str">
            <v xml:space="preserve">Rabiul Islam Nijhum </v>
          </cell>
          <cell r="E1374">
            <v>558842</v>
          </cell>
          <cell r="F1374" t="str">
            <v>Publication</v>
          </cell>
          <cell r="G1374" t="str">
            <v>Junior Executive</v>
          </cell>
        </row>
        <row r="1375">
          <cell r="B1375">
            <v>558843</v>
          </cell>
          <cell r="C1375" t="str">
            <v>APML-596</v>
          </cell>
          <cell r="D1375" t="str">
            <v>Mohammad Jahanger Alam</v>
          </cell>
          <cell r="E1375">
            <v>558843</v>
          </cell>
          <cell r="F1375" t="str">
            <v>Publication</v>
          </cell>
          <cell r="G1375" t="str">
            <v>Senior Executive</v>
          </cell>
        </row>
        <row r="1376">
          <cell r="B1376">
            <v>558848</v>
          </cell>
          <cell r="C1376" t="str">
            <v>AFBL(Marketing)-16336</v>
          </cell>
          <cell r="D1376" t="str">
            <v>Md. Riazul Islam</v>
          </cell>
          <cell r="E1376">
            <v>558848</v>
          </cell>
          <cell r="F1376" t="str">
            <v>Sales &amp; Marketing</v>
          </cell>
          <cell r="G1376" t="str">
            <v>Territory Sales Manager</v>
          </cell>
        </row>
        <row r="1377">
          <cell r="B1377">
            <v>558980</v>
          </cell>
          <cell r="C1377" t="str">
            <v>FR6396</v>
          </cell>
          <cell r="D1377" t="str">
            <v xml:space="preserve">Md. Rashedul Islam </v>
          </cell>
          <cell r="E1377">
            <v>558980</v>
          </cell>
          <cell r="F1377" t="str">
            <v>Quality Control</v>
          </cell>
          <cell r="G1377" t="str">
            <v>Junior Executive</v>
          </cell>
        </row>
        <row r="1378">
          <cell r="B1378">
            <v>559025</v>
          </cell>
          <cell r="C1378" t="str">
            <v>FR6399</v>
          </cell>
          <cell r="D1378" t="str">
            <v xml:space="preserve">Khairul Islam </v>
          </cell>
          <cell r="E1378">
            <v>559025</v>
          </cell>
          <cell r="F1378" t="str">
            <v>Quality Control</v>
          </cell>
          <cell r="G1378" t="str">
            <v>Junior Executive</v>
          </cell>
        </row>
        <row r="1379">
          <cell r="B1379">
            <v>559027</v>
          </cell>
          <cell r="C1379" t="str">
            <v>AGRO-1703</v>
          </cell>
          <cell r="D1379" t="str">
            <v>Md. Rabiul Islam</v>
          </cell>
          <cell r="E1379">
            <v>559027</v>
          </cell>
          <cell r="F1379" t="str">
            <v>Security</v>
          </cell>
          <cell r="G1379" t="str">
            <v>Junior Executive</v>
          </cell>
        </row>
        <row r="1380">
          <cell r="B1380">
            <v>559206</v>
          </cell>
          <cell r="C1380" t="str">
            <v>AFBL(Marketing)-16564</v>
          </cell>
          <cell r="D1380" t="str">
            <v>Arafat Hossan</v>
          </cell>
          <cell r="E1380">
            <v>559206</v>
          </cell>
          <cell r="F1380" t="str">
            <v>Sales &amp; Marketing</v>
          </cell>
          <cell r="G1380" t="str">
            <v>Senior Territory Sales Manager</v>
          </cell>
        </row>
        <row r="1381">
          <cell r="B1381">
            <v>559234</v>
          </cell>
          <cell r="C1381" t="str">
            <v>FR6401</v>
          </cell>
          <cell r="D1381" t="str">
            <v>Md. Sakil Ahmed</v>
          </cell>
          <cell r="E1381">
            <v>559234</v>
          </cell>
          <cell r="F1381" t="str">
            <v>Mechanical</v>
          </cell>
          <cell r="G1381" t="str">
            <v>Engineer</v>
          </cell>
        </row>
        <row r="1382">
          <cell r="B1382">
            <v>559235</v>
          </cell>
          <cell r="C1382" t="str">
            <v>FR6402</v>
          </cell>
          <cell r="D1382" t="str">
            <v>Shanker Kumar Das</v>
          </cell>
          <cell r="E1382">
            <v>559235</v>
          </cell>
          <cell r="F1382" t="str">
            <v>Transport</v>
          </cell>
          <cell r="G1382" t="str">
            <v>Executive</v>
          </cell>
        </row>
        <row r="1383">
          <cell r="B1383">
            <v>559280</v>
          </cell>
          <cell r="C1383" t="str">
            <v>AFBL-R3517</v>
          </cell>
          <cell r="D1383" t="str">
            <v>Shaiduzzaman</v>
          </cell>
          <cell r="E1383">
            <v>559280</v>
          </cell>
          <cell r="F1383" t="str">
            <v>Supply Chain</v>
          </cell>
          <cell r="G1383" t="str">
            <v>Executive</v>
          </cell>
        </row>
        <row r="1384">
          <cell r="B1384">
            <v>559320</v>
          </cell>
          <cell r="C1384" t="str">
            <v>FR6403</v>
          </cell>
          <cell r="D1384" t="str">
            <v>Al Mamun</v>
          </cell>
          <cell r="E1384">
            <v>559320</v>
          </cell>
          <cell r="F1384" t="str">
            <v>Quality Control</v>
          </cell>
          <cell r="G1384" t="str">
            <v>Junior Executive</v>
          </cell>
        </row>
        <row r="1385">
          <cell r="B1385">
            <v>559322</v>
          </cell>
          <cell r="C1385" t="str">
            <v>FR6405</v>
          </cell>
          <cell r="D1385" t="str">
            <v>Md. Ashikuj Jaman</v>
          </cell>
          <cell r="E1385">
            <v>559322</v>
          </cell>
          <cell r="F1385" t="str">
            <v>Civil</v>
          </cell>
          <cell r="G1385" t="str">
            <v>Junior Executive</v>
          </cell>
        </row>
        <row r="1386">
          <cell r="B1386">
            <v>559328</v>
          </cell>
          <cell r="C1386" t="str">
            <v>AFBL-R3518</v>
          </cell>
          <cell r="D1386" t="str">
            <v>Riyana Rahaman</v>
          </cell>
          <cell r="E1386">
            <v>559328</v>
          </cell>
          <cell r="F1386" t="str">
            <v>Architectural Planning &amp; Design</v>
          </cell>
          <cell r="G1386" t="str">
            <v>Executive</v>
          </cell>
        </row>
        <row r="1387">
          <cell r="B1387">
            <v>559332</v>
          </cell>
          <cell r="C1387" t="str">
            <v>AFBL(Marketing)-16626</v>
          </cell>
          <cell r="D1387" t="str">
            <v>Shaherul Alam</v>
          </cell>
          <cell r="E1387">
            <v>559332</v>
          </cell>
          <cell r="F1387" t="str">
            <v>Sales &amp; Marketing</v>
          </cell>
          <cell r="G1387" t="str">
            <v>Territory Sales Manager</v>
          </cell>
        </row>
        <row r="1388">
          <cell r="B1388">
            <v>559334</v>
          </cell>
          <cell r="C1388" t="str">
            <v>AFBL(Marketing)-16624</v>
          </cell>
          <cell r="D1388" t="str">
            <v>Salah Uddin</v>
          </cell>
          <cell r="E1388">
            <v>559334</v>
          </cell>
          <cell r="F1388" t="str">
            <v>Sales &amp; Marketing</v>
          </cell>
          <cell r="G1388" t="str">
            <v>Territory Sales Manager</v>
          </cell>
        </row>
        <row r="1389">
          <cell r="B1389">
            <v>559336</v>
          </cell>
          <cell r="C1389" t="str">
            <v>AFBL(Marketing)-16622</v>
          </cell>
          <cell r="D1389" t="str">
            <v>Zilanee Mia</v>
          </cell>
          <cell r="E1389">
            <v>559336</v>
          </cell>
          <cell r="F1389" t="str">
            <v>Sales &amp; Marketing</v>
          </cell>
          <cell r="G1389" t="str">
            <v>Territory Sales Manager</v>
          </cell>
        </row>
        <row r="1390">
          <cell r="B1390">
            <v>559338</v>
          </cell>
          <cell r="C1390" t="str">
            <v>AFBL(Marketing)-16620</v>
          </cell>
          <cell r="D1390" t="str">
            <v>Md. Rahad Hawlader</v>
          </cell>
          <cell r="E1390">
            <v>559338</v>
          </cell>
          <cell r="F1390" t="str">
            <v>Sales &amp; Marketing</v>
          </cell>
          <cell r="G1390" t="str">
            <v>Territory Sales Manager</v>
          </cell>
        </row>
        <row r="1391">
          <cell r="B1391">
            <v>559339</v>
          </cell>
          <cell r="C1391" t="str">
            <v>AFBL(Marketing)-16619</v>
          </cell>
          <cell r="D1391" t="str">
            <v>Md. Shafiullah</v>
          </cell>
          <cell r="E1391">
            <v>559339</v>
          </cell>
          <cell r="F1391" t="str">
            <v>Sales &amp; Marketing</v>
          </cell>
          <cell r="G1391" t="str">
            <v>Territory Sales Manager</v>
          </cell>
        </row>
        <row r="1392">
          <cell r="B1392">
            <v>559341</v>
          </cell>
          <cell r="C1392" t="str">
            <v>AFBL(Marketing)-16617</v>
          </cell>
          <cell r="D1392" t="str">
            <v>Md. Tanveer Ahmad</v>
          </cell>
          <cell r="E1392">
            <v>559341</v>
          </cell>
          <cell r="F1392" t="str">
            <v>Sales &amp; Marketing</v>
          </cell>
          <cell r="G1392" t="str">
            <v>Territory Sales Manager</v>
          </cell>
        </row>
        <row r="1393">
          <cell r="B1393">
            <v>559343</v>
          </cell>
          <cell r="C1393" t="str">
            <v>AFBL(Marketing)-16614</v>
          </cell>
          <cell r="D1393" t="str">
            <v>Md. Sohanur Rahman Sohan</v>
          </cell>
          <cell r="E1393">
            <v>559343</v>
          </cell>
          <cell r="F1393" t="str">
            <v>Sales &amp; Marketing</v>
          </cell>
          <cell r="G1393" t="str">
            <v>Territory Sales Manager</v>
          </cell>
        </row>
        <row r="1394">
          <cell r="B1394">
            <v>559345</v>
          </cell>
          <cell r="C1394" t="str">
            <v>AFBL(Marketing)-16612</v>
          </cell>
          <cell r="D1394" t="str">
            <v>Md. Maidul Islam</v>
          </cell>
          <cell r="E1394">
            <v>559345</v>
          </cell>
          <cell r="F1394" t="str">
            <v>Sales &amp; Marketing</v>
          </cell>
          <cell r="G1394" t="str">
            <v>Territory Sales Manager</v>
          </cell>
        </row>
        <row r="1395">
          <cell r="B1395">
            <v>559346</v>
          </cell>
          <cell r="C1395" t="str">
            <v>AFBL(Marketing)-16611</v>
          </cell>
          <cell r="D1395" t="str">
            <v>Md. Romizul Islam</v>
          </cell>
          <cell r="E1395">
            <v>559346</v>
          </cell>
          <cell r="F1395" t="str">
            <v>Sales &amp; Marketing</v>
          </cell>
          <cell r="G1395" t="str">
            <v>Territory Sales Manager</v>
          </cell>
        </row>
        <row r="1396">
          <cell r="B1396">
            <v>559355</v>
          </cell>
          <cell r="C1396" t="str">
            <v>AFBL(Marketing)-16616</v>
          </cell>
          <cell r="D1396" t="str">
            <v>Md. Norun Nabi</v>
          </cell>
          <cell r="E1396">
            <v>559355</v>
          </cell>
          <cell r="F1396" t="str">
            <v>Sales &amp; Marketing</v>
          </cell>
          <cell r="G1396" t="str">
            <v>Territory Sales Manager</v>
          </cell>
        </row>
        <row r="1397">
          <cell r="B1397">
            <v>559373</v>
          </cell>
          <cell r="C1397" t="str">
            <v>AFBL(Marketing)-16641</v>
          </cell>
          <cell r="D1397" t="str">
            <v>Md. Mustack Hossain</v>
          </cell>
          <cell r="E1397">
            <v>559373</v>
          </cell>
          <cell r="F1397" t="str">
            <v>Sales &amp; Marketing</v>
          </cell>
          <cell r="G1397" t="str">
            <v>Territory Sales Manager</v>
          </cell>
        </row>
        <row r="1398">
          <cell r="B1398">
            <v>559453</v>
          </cell>
          <cell r="C1398" t="str">
            <v>FR6410</v>
          </cell>
          <cell r="D1398" t="str">
            <v>Md. Sajib Sharif</v>
          </cell>
          <cell r="E1398">
            <v>559453</v>
          </cell>
          <cell r="F1398" t="str">
            <v>Store</v>
          </cell>
          <cell r="G1398" t="str">
            <v>Junior Executive</v>
          </cell>
        </row>
        <row r="1399">
          <cell r="B1399">
            <v>559461</v>
          </cell>
          <cell r="C1399" t="str">
            <v>AFBL(Marketing)-16659</v>
          </cell>
          <cell r="D1399" t="str">
            <v>Md. Shamim</v>
          </cell>
          <cell r="E1399">
            <v>559461</v>
          </cell>
          <cell r="F1399" t="str">
            <v>Sales &amp; Marketing</v>
          </cell>
          <cell r="G1399" t="str">
            <v>Area Sales Manager</v>
          </cell>
        </row>
        <row r="1400">
          <cell r="B1400">
            <v>559463</v>
          </cell>
          <cell r="C1400" t="str">
            <v>AFBL(Hob)-475</v>
          </cell>
          <cell r="D1400" t="str">
            <v>Md. Shihab Uddin</v>
          </cell>
          <cell r="E1400">
            <v>559463</v>
          </cell>
          <cell r="F1400" t="str">
            <v>Distribution</v>
          </cell>
          <cell r="G1400" t="str">
            <v>Junior Executive</v>
          </cell>
        </row>
        <row r="1401">
          <cell r="B1401">
            <v>559488</v>
          </cell>
          <cell r="C1401" t="str">
            <v>AFBL-R3521</v>
          </cell>
          <cell r="D1401" t="str">
            <v>Md. Rayhan Islam</v>
          </cell>
          <cell r="E1401">
            <v>559488</v>
          </cell>
          <cell r="F1401" t="str">
            <v>IT</v>
          </cell>
          <cell r="G1401" t="str">
            <v>Junior Executive</v>
          </cell>
        </row>
        <row r="1402">
          <cell r="B1402">
            <v>559502</v>
          </cell>
          <cell r="C1402" t="str">
            <v>AFBL-R3522</v>
          </cell>
          <cell r="D1402" t="str">
            <v>Adib Mahmud</v>
          </cell>
          <cell r="E1402">
            <v>559502</v>
          </cell>
          <cell r="F1402" t="str">
            <v>IT</v>
          </cell>
          <cell r="G1402" t="str">
            <v>Executive</v>
          </cell>
        </row>
        <row r="1403">
          <cell r="B1403">
            <v>559633</v>
          </cell>
          <cell r="C1403" t="str">
            <v>AFBL-R3523</v>
          </cell>
          <cell r="D1403" t="str">
            <v>Md. Golam Saklain</v>
          </cell>
          <cell r="E1403">
            <v>559633</v>
          </cell>
          <cell r="F1403" t="str">
            <v>Digital Marketing</v>
          </cell>
          <cell r="G1403" t="str">
            <v>Assistant Manager</v>
          </cell>
        </row>
        <row r="1404">
          <cell r="B1404">
            <v>559635</v>
          </cell>
          <cell r="C1404" t="str">
            <v>AFBL(Marketing)-16744</v>
          </cell>
          <cell r="D1404" t="str">
            <v>Md. Imran Nazir</v>
          </cell>
          <cell r="E1404">
            <v>559635</v>
          </cell>
          <cell r="F1404" t="str">
            <v>Sales &amp; Marketing</v>
          </cell>
          <cell r="G1404" t="str">
            <v>Territory Sales Manager</v>
          </cell>
        </row>
        <row r="1405">
          <cell r="B1405">
            <v>559821</v>
          </cell>
          <cell r="C1405" t="str">
            <v>AFBL-R3524</v>
          </cell>
          <cell r="D1405" t="str">
            <v>Md. Isbatul Islam</v>
          </cell>
          <cell r="E1405">
            <v>559821</v>
          </cell>
          <cell r="F1405" t="str">
            <v>Finance &amp; Accounts</v>
          </cell>
          <cell r="G1405" t="str">
            <v>Junior Executive</v>
          </cell>
        </row>
        <row r="1406">
          <cell r="B1406">
            <v>559826</v>
          </cell>
          <cell r="C1406" t="str">
            <v>AFBL(Hob)-502</v>
          </cell>
          <cell r="D1406" t="str">
            <v>Md Farhad Sheikh</v>
          </cell>
          <cell r="E1406">
            <v>559826</v>
          </cell>
          <cell r="F1406" t="str">
            <v>Admin</v>
          </cell>
          <cell r="G1406" t="str">
            <v>Senior Executive</v>
          </cell>
        </row>
        <row r="1407">
          <cell r="B1407">
            <v>559858</v>
          </cell>
          <cell r="C1407" t="str">
            <v>AFBL-R3525</v>
          </cell>
          <cell r="D1407" t="str">
            <v>Md. Shofiul Alam Shovon</v>
          </cell>
          <cell r="E1407">
            <v>559858</v>
          </cell>
          <cell r="F1407" t="str">
            <v>Supply Chain</v>
          </cell>
          <cell r="G1407" t="str">
            <v>Senior Executive</v>
          </cell>
        </row>
        <row r="1408">
          <cell r="B1408">
            <v>559859</v>
          </cell>
          <cell r="C1408" t="str">
            <v>AFBL-R3526</v>
          </cell>
          <cell r="D1408" t="str">
            <v>Faize Zafar</v>
          </cell>
          <cell r="E1408">
            <v>559859</v>
          </cell>
          <cell r="F1408" t="str">
            <v>New Project &amp; Development</v>
          </cell>
          <cell r="G1408" t="str">
            <v>Executive</v>
          </cell>
        </row>
        <row r="1409">
          <cell r="B1409">
            <v>559889</v>
          </cell>
          <cell r="C1409" t="str">
            <v>AGRO-1708</v>
          </cell>
          <cell r="D1409" t="str">
            <v>Md. Moklasur Rahman</v>
          </cell>
          <cell r="E1409">
            <v>559889</v>
          </cell>
          <cell r="F1409" t="str">
            <v>HR &amp; Admin</v>
          </cell>
          <cell r="G1409" t="str">
            <v>Assistant Manager</v>
          </cell>
        </row>
        <row r="1410">
          <cell r="B1410">
            <v>559930</v>
          </cell>
          <cell r="C1410" t="str">
            <v>AFBL-R3531</v>
          </cell>
          <cell r="D1410" t="str">
            <v>Al Maruf</v>
          </cell>
          <cell r="E1410">
            <v>559930</v>
          </cell>
          <cell r="F1410" t="str">
            <v>Creative</v>
          </cell>
          <cell r="G1410" t="str">
            <v>Executive</v>
          </cell>
        </row>
        <row r="1411">
          <cell r="B1411">
            <v>559933</v>
          </cell>
          <cell r="C1411" t="str">
            <v>AFBL(Hob)-503</v>
          </cell>
          <cell r="D1411" t="str">
            <v>Md Al Amin</v>
          </cell>
          <cell r="E1411">
            <v>559933</v>
          </cell>
          <cell r="F1411" t="str">
            <v>Quality Control</v>
          </cell>
          <cell r="G1411" t="str">
            <v>Executive</v>
          </cell>
        </row>
        <row r="1412">
          <cell r="B1412">
            <v>559937</v>
          </cell>
          <cell r="C1412" t="str">
            <v>AFBL(Hob)-504</v>
          </cell>
          <cell r="D1412" t="str">
            <v>Md Oli Ulla Firoj</v>
          </cell>
          <cell r="E1412">
            <v>559937</v>
          </cell>
          <cell r="F1412" t="str">
            <v>Store</v>
          </cell>
          <cell r="G1412" t="str">
            <v>Junior Executive</v>
          </cell>
        </row>
        <row r="1413">
          <cell r="B1413">
            <v>559962</v>
          </cell>
          <cell r="C1413" t="str">
            <v>AFBL-R3533</v>
          </cell>
          <cell r="D1413" t="str">
            <v>Mehraj Hossen</v>
          </cell>
          <cell r="E1413">
            <v>559962</v>
          </cell>
          <cell r="F1413" t="str">
            <v>Digital Marketing</v>
          </cell>
          <cell r="G1413" t="str">
            <v>Executive</v>
          </cell>
        </row>
        <row r="1414">
          <cell r="B1414">
            <v>559964</v>
          </cell>
          <cell r="C1414" t="str">
            <v>AFBL-R3532</v>
          </cell>
          <cell r="D1414" t="str">
            <v>Abu Roshed Solaiman</v>
          </cell>
          <cell r="E1414">
            <v>559964</v>
          </cell>
          <cell r="F1414" t="str">
            <v>Commercial</v>
          </cell>
          <cell r="G1414" t="str">
            <v>Deputy General Manager</v>
          </cell>
        </row>
        <row r="1415">
          <cell r="B1415">
            <v>559999</v>
          </cell>
          <cell r="C1415" t="str">
            <v>AFBL(Marketing)-16940</v>
          </cell>
          <cell r="D1415" t="str">
            <v>Rashed Ahmed</v>
          </cell>
          <cell r="E1415">
            <v>559999</v>
          </cell>
          <cell r="F1415" t="str">
            <v>Sales &amp; Marketing</v>
          </cell>
          <cell r="G1415" t="str">
            <v>Territory Sales Manager</v>
          </cell>
        </row>
        <row r="1416">
          <cell r="B1416">
            <v>560019</v>
          </cell>
          <cell r="C1416" t="str">
            <v>AFBL-R3535</v>
          </cell>
          <cell r="D1416" t="str">
            <v>Bipro Das Gunjan</v>
          </cell>
          <cell r="E1416">
            <v>560019</v>
          </cell>
          <cell r="F1416" t="str">
            <v>Digital Marketing</v>
          </cell>
          <cell r="G1416" t="str">
            <v>Executive</v>
          </cell>
        </row>
        <row r="1417">
          <cell r="B1417">
            <v>560023</v>
          </cell>
          <cell r="C1417" t="str">
            <v>AFBL(Marketing)-16967</v>
          </cell>
          <cell r="D1417" t="str">
            <v xml:space="preserve">S M Aminur Rahman Faysal </v>
          </cell>
          <cell r="E1417">
            <v>560023</v>
          </cell>
          <cell r="F1417" t="str">
            <v>Sales &amp; Marketing</v>
          </cell>
          <cell r="G1417" t="str">
            <v>Area Sales Manager</v>
          </cell>
        </row>
        <row r="1418">
          <cell r="B1418">
            <v>560024</v>
          </cell>
          <cell r="C1418" t="str">
            <v>AFBL(Marketing)-16968</v>
          </cell>
          <cell r="D1418" t="str">
            <v>Mithun Kundu</v>
          </cell>
          <cell r="E1418">
            <v>560024</v>
          </cell>
          <cell r="F1418" t="str">
            <v>Sales &amp; Marketing</v>
          </cell>
          <cell r="G1418" t="str">
            <v>Area Sales Manager</v>
          </cell>
        </row>
        <row r="1419">
          <cell r="B1419">
            <v>560026</v>
          </cell>
          <cell r="C1419" t="str">
            <v>AFBL(Marketing)-16969</v>
          </cell>
          <cell r="D1419" t="str">
            <v>Md. Alamin Shawon</v>
          </cell>
          <cell r="E1419">
            <v>560026</v>
          </cell>
          <cell r="F1419" t="str">
            <v>Sales &amp; Marketing</v>
          </cell>
          <cell r="G1419" t="str">
            <v>Area Sales Manager</v>
          </cell>
        </row>
        <row r="1420">
          <cell r="B1420">
            <v>560033</v>
          </cell>
          <cell r="C1420" t="str">
            <v>Intern-218</v>
          </cell>
          <cell r="D1420" t="str">
            <v>Snigdha Mandal Niha</v>
          </cell>
          <cell r="E1420">
            <v>560033</v>
          </cell>
          <cell r="F1420" t="str">
            <v>HR</v>
          </cell>
          <cell r="G1420" t="str">
            <v>Intern</v>
          </cell>
        </row>
        <row r="1421">
          <cell r="B1421">
            <v>560065</v>
          </cell>
          <cell r="C1421" t="str">
            <v>AFBL-R3536</v>
          </cell>
          <cell r="D1421" t="str">
            <v>Abdullah Ashraf</v>
          </cell>
          <cell r="E1421">
            <v>560065</v>
          </cell>
          <cell r="F1421" t="str">
            <v>Publication</v>
          </cell>
          <cell r="G1421" t="str">
            <v>Executive</v>
          </cell>
        </row>
        <row r="1422">
          <cell r="B1422">
            <v>560069</v>
          </cell>
          <cell r="C1422" t="str">
            <v>AFBL-R3537</v>
          </cell>
          <cell r="D1422" t="str">
            <v>M. Sabbir Ahmed</v>
          </cell>
          <cell r="E1422">
            <v>560069</v>
          </cell>
          <cell r="F1422" t="str">
            <v>Publication</v>
          </cell>
          <cell r="G1422" t="str">
            <v>Senior Executive</v>
          </cell>
        </row>
        <row r="1423">
          <cell r="B1423">
            <v>560071</v>
          </cell>
          <cell r="C1423" t="str">
            <v>AFBL-R3538</v>
          </cell>
          <cell r="D1423" t="str">
            <v>Md. Golam Kibria</v>
          </cell>
          <cell r="E1423">
            <v>560071</v>
          </cell>
          <cell r="F1423" t="str">
            <v>Outdoor Management</v>
          </cell>
          <cell r="G1423" t="str">
            <v>Executive</v>
          </cell>
        </row>
        <row r="1424">
          <cell r="B1424">
            <v>560100</v>
          </cell>
          <cell r="C1424" t="str">
            <v>AFBL(Hob)-511</v>
          </cell>
          <cell r="D1424" t="str">
            <v>Md Koushik Rahman</v>
          </cell>
          <cell r="E1424">
            <v>560100</v>
          </cell>
          <cell r="F1424" t="str">
            <v>Admin</v>
          </cell>
          <cell r="G1424" t="str">
            <v>Senior Executive</v>
          </cell>
        </row>
        <row r="1425">
          <cell r="B1425">
            <v>560150</v>
          </cell>
          <cell r="C1425" t="str">
            <v>AFBL(Hob)-515</v>
          </cell>
          <cell r="D1425" t="str">
            <v>Mohammod Kasum Ali</v>
          </cell>
          <cell r="E1425">
            <v>560150</v>
          </cell>
          <cell r="F1425" t="str">
            <v>Security</v>
          </cell>
          <cell r="G1425" t="str">
            <v>Junior Executive</v>
          </cell>
        </row>
        <row r="1426">
          <cell r="B1426">
            <v>560271</v>
          </cell>
          <cell r="C1426" t="str">
            <v>AFBL-R3552</v>
          </cell>
          <cell r="D1426" t="str">
            <v>Md. Rajib Hasan</v>
          </cell>
          <cell r="E1426">
            <v>560271</v>
          </cell>
          <cell r="F1426" t="str">
            <v>Security</v>
          </cell>
          <cell r="G1426" t="str">
            <v>Junior Executive</v>
          </cell>
        </row>
        <row r="1427">
          <cell r="B1427">
            <v>560436</v>
          </cell>
          <cell r="C1427" t="str">
            <v>AFBL-R3554</v>
          </cell>
          <cell r="D1427" t="str">
            <v>Md. Arman Khan</v>
          </cell>
          <cell r="E1427">
            <v>560436</v>
          </cell>
          <cell r="F1427" t="str">
            <v>Admin</v>
          </cell>
          <cell r="G1427" t="str">
            <v>Junior Executive</v>
          </cell>
        </row>
        <row r="1428">
          <cell r="B1428">
            <v>560452</v>
          </cell>
          <cell r="C1428" t="str">
            <v>AFBL-R3555</v>
          </cell>
          <cell r="D1428" t="str">
            <v>Sadik Farhan</v>
          </cell>
          <cell r="E1428">
            <v>560452</v>
          </cell>
          <cell r="F1428" t="str">
            <v>Chairman Office</v>
          </cell>
          <cell r="G1428" t="str">
            <v>Junior Executive</v>
          </cell>
        </row>
        <row r="1429">
          <cell r="B1429">
            <v>560454</v>
          </cell>
          <cell r="C1429" t="str">
            <v>AFBL-R3556</v>
          </cell>
          <cell r="D1429" t="str">
            <v>Nahid Hasan</v>
          </cell>
          <cell r="E1429">
            <v>560454</v>
          </cell>
          <cell r="F1429" t="str">
            <v>Outdoor Management</v>
          </cell>
          <cell r="G1429" t="str">
            <v>Executive</v>
          </cell>
        </row>
        <row r="1430">
          <cell r="B1430">
            <v>560502</v>
          </cell>
          <cell r="C1430" t="str">
            <v>AFBL(Hob)-524</v>
          </cell>
          <cell r="D1430" t="str">
            <v>Mst Asma Khatun</v>
          </cell>
          <cell r="E1430">
            <v>560502</v>
          </cell>
          <cell r="F1430" t="str">
            <v>HR</v>
          </cell>
          <cell r="G1430" t="str">
            <v>Junior Executive</v>
          </cell>
        </row>
        <row r="1431">
          <cell r="B1431">
            <v>560503</v>
          </cell>
          <cell r="C1431" t="str">
            <v>AFBL-R3557</v>
          </cell>
          <cell r="D1431" t="str">
            <v>Md. Hasanuzzaman Shovon</v>
          </cell>
          <cell r="E1431">
            <v>560503</v>
          </cell>
          <cell r="F1431" t="str">
            <v>Accounts And Finance</v>
          </cell>
          <cell r="G1431" t="str">
            <v>Senior Executive</v>
          </cell>
        </row>
        <row r="1432">
          <cell r="B1432">
            <v>560518</v>
          </cell>
          <cell r="C1432" t="str">
            <v>AFBL(Marketing)-17121</v>
          </cell>
          <cell r="D1432" t="str">
            <v>Md. Moniruzzaman Tushar</v>
          </cell>
          <cell r="E1432">
            <v>560518</v>
          </cell>
          <cell r="F1432" t="str">
            <v>Sales &amp; Marketing</v>
          </cell>
          <cell r="G1432" t="str">
            <v>Territory Sales Manager</v>
          </cell>
        </row>
        <row r="1433">
          <cell r="B1433">
            <v>560520</v>
          </cell>
          <cell r="C1433" t="str">
            <v>AFBL-R3558</v>
          </cell>
          <cell r="D1433" t="str">
            <v>Nawreen Chowdhury Adeeba</v>
          </cell>
          <cell r="E1433">
            <v>560520</v>
          </cell>
          <cell r="F1433" t="str">
            <v>MIS</v>
          </cell>
          <cell r="G1433" t="str">
            <v>Executive</v>
          </cell>
        </row>
        <row r="1434">
          <cell r="B1434">
            <v>560521</v>
          </cell>
          <cell r="C1434" t="str">
            <v>Intern-219</v>
          </cell>
          <cell r="D1434" t="str">
            <v>Md. Mostafa</v>
          </cell>
          <cell r="E1434">
            <v>560521</v>
          </cell>
          <cell r="F1434" t="str">
            <v>Accounts And Finance</v>
          </cell>
          <cell r="G1434" t="str">
            <v>Intern</v>
          </cell>
        </row>
        <row r="1435">
          <cell r="B1435">
            <v>560522</v>
          </cell>
          <cell r="C1435" t="str">
            <v>Intern-220</v>
          </cell>
          <cell r="D1435" t="str">
            <v>Syed Nakib Hossain</v>
          </cell>
          <cell r="E1435">
            <v>560522</v>
          </cell>
          <cell r="F1435" t="str">
            <v>Accounts And Finance</v>
          </cell>
          <cell r="G1435" t="str">
            <v>Intern</v>
          </cell>
        </row>
        <row r="1436">
          <cell r="B1436">
            <v>560523</v>
          </cell>
          <cell r="C1436" t="str">
            <v>AFBL(Marketing)-17122</v>
          </cell>
          <cell r="D1436" t="str">
            <v>Abu Yousuf</v>
          </cell>
          <cell r="E1436">
            <v>560523</v>
          </cell>
          <cell r="F1436" t="str">
            <v>Sales &amp; Marketing</v>
          </cell>
          <cell r="G1436" t="str">
            <v>Territory Sales Manager</v>
          </cell>
        </row>
        <row r="1437">
          <cell r="B1437">
            <v>560525</v>
          </cell>
          <cell r="C1437" t="str">
            <v>AFBL(Marketing)-17123</v>
          </cell>
          <cell r="D1437" t="str">
            <v>Md. Habil Rana</v>
          </cell>
          <cell r="E1437">
            <v>560525</v>
          </cell>
          <cell r="F1437" t="str">
            <v>Sales &amp; Marketing</v>
          </cell>
          <cell r="G1437" t="str">
            <v>Territory Sales Manager</v>
          </cell>
        </row>
        <row r="1438">
          <cell r="B1438">
            <v>560527</v>
          </cell>
          <cell r="C1438" t="str">
            <v>AFBL(Marketing)-17124</v>
          </cell>
          <cell r="D1438" t="str">
            <v>M. M. Mehrab Shahriar</v>
          </cell>
          <cell r="E1438">
            <v>560527</v>
          </cell>
          <cell r="F1438" t="str">
            <v>Sales &amp; Marketing</v>
          </cell>
          <cell r="G1438" t="str">
            <v>Territory Sales Manager</v>
          </cell>
        </row>
        <row r="1439">
          <cell r="B1439">
            <v>560528</v>
          </cell>
          <cell r="C1439" t="str">
            <v>AFBL(Marketing)-17125</v>
          </cell>
          <cell r="D1439" t="str">
            <v>Abul Kahar Siddiqi</v>
          </cell>
          <cell r="E1439">
            <v>560528</v>
          </cell>
          <cell r="F1439" t="str">
            <v>Sales &amp; Marketing</v>
          </cell>
          <cell r="G1439" t="str">
            <v>Territory Sales Manager</v>
          </cell>
        </row>
        <row r="1440">
          <cell r="B1440">
            <v>560530</v>
          </cell>
          <cell r="C1440" t="str">
            <v>AFBL(Marketing)-17126</v>
          </cell>
          <cell r="D1440" t="str">
            <v>AL Mahamud Hasan</v>
          </cell>
          <cell r="E1440">
            <v>560530</v>
          </cell>
          <cell r="F1440" t="str">
            <v>Sales &amp; Marketing</v>
          </cell>
          <cell r="G1440" t="str">
            <v>Territory Sales Manager</v>
          </cell>
        </row>
        <row r="1441">
          <cell r="B1441">
            <v>560565</v>
          </cell>
          <cell r="C1441" t="str">
            <v>AFBL-R3559</v>
          </cell>
          <cell r="D1441" t="str">
            <v>Samiul Alam</v>
          </cell>
          <cell r="E1441">
            <v>560565</v>
          </cell>
          <cell r="F1441" t="str">
            <v>MIS</v>
          </cell>
          <cell r="G1441" t="str">
            <v>Executive</v>
          </cell>
        </row>
        <row r="1442">
          <cell r="B1442">
            <v>560566</v>
          </cell>
          <cell r="C1442" t="str">
            <v>AFBL-R3560</v>
          </cell>
          <cell r="D1442" t="str">
            <v>Zannatul Baki Mim</v>
          </cell>
          <cell r="E1442">
            <v>560566</v>
          </cell>
          <cell r="F1442" t="str">
            <v>HR</v>
          </cell>
          <cell r="G1442" t="str">
            <v>Executive</v>
          </cell>
        </row>
        <row r="1443">
          <cell r="B1443">
            <v>560586</v>
          </cell>
          <cell r="C1443" t="str">
            <v>AFBL-R3561</v>
          </cell>
          <cell r="D1443" t="str">
            <v>Md. Raihan Ali</v>
          </cell>
          <cell r="E1443">
            <v>560586</v>
          </cell>
          <cell r="F1443" t="str">
            <v>Modern Trade</v>
          </cell>
          <cell r="G1443" t="str">
            <v>Junior Executive</v>
          </cell>
        </row>
        <row r="1444">
          <cell r="B1444">
            <v>560587</v>
          </cell>
          <cell r="C1444" t="str">
            <v>AFBL-R3562</v>
          </cell>
          <cell r="D1444" t="str">
            <v>Md. Abu Raihan Sarker</v>
          </cell>
          <cell r="E1444">
            <v>560587</v>
          </cell>
          <cell r="F1444" t="str">
            <v>Modern Trade</v>
          </cell>
          <cell r="G1444" t="str">
            <v>Junior Executive</v>
          </cell>
        </row>
        <row r="1445">
          <cell r="B1445">
            <v>560588</v>
          </cell>
          <cell r="C1445" t="str">
            <v>AFBL-R3563</v>
          </cell>
          <cell r="D1445" t="str">
            <v>Md. Jahid Hossain</v>
          </cell>
          <cell r="E1445">
            <v>560588</v>
          </cell>
          <cell r="F1445" t="str">
            <v>Modern Trade</v>
          </cell>
          <cell r="G1445" t="str">
            <v>Junior Executive</v>
          </cell>
        </row>
        <row r="1446">
          <cell r="B1446">
            <v>560604</v>
          </cell>
          <cell r="C1446" t="str">
            <v>AFBL(Marketing)-17136</v>
          </cell>
          <cell r="D1446" t="str">
            <v>Md. Masud Rana</v>
          </cell>
          <cell r="E1446">
            <v>560604</v>
          </cell>
          <cell r="F1446" t="str">
            <v>Sales &amp; Marketing</v>
          </cell>
          <cell r="G1446" t="str">
            <v>Territory Sales Manager</v>
          </cell>
        </row>
        <row r="1447">
          <cell r="B1447">
            <v>560639</v>
          </cell>
          <cell r="C1447" t="str">
            <v>AFBL(Marketing)-17141</v>
          </cell>
          <cell r="D1447" t="str">
            <v>Md. Sohag Howlader</v>
          </cell>
          <cell r="E1447">
            <v>560639</v>
          </cell>
          <cell r="F1447" t="str">
            <v>Sales &amp; Marketing</v>
          </cell>
          <cell r="G1447" t="str">
            <v>Territory Sales Manager</v>
          </cell>
        </row>
        <row r="1448">
          <cell r="B1448">
            <v>560640</v>
          </cell>
          <cell r="C1448" t="str">
            <v>AFBL(Marketing)-17142</v>
          </cell>
          <cell r="D1448" t="str">
            <v>Kamrul Haque Mina</v>
          </cell>
          <cell r="E1448">
            <v>560640</v>
          </cell>
          <cell r="F1448" t="str">
            <v>Sales &amp; Marketing</v>
          </cell>
          <cell r="G1448" t="str">
            <v>Territory Sales Manager</v>
          </cell>
        </row>
        <row r="1449">
          <cell r="B1449">
            <v>560641</v>
          </cell>
          <cell r="C1449" t="str">
            <v>AFBL(Marketing)-17143</v>
          </cell>
          <cell r="D1449" t="str">
            <v>Md. Tajul Islam</v>
          </cell>
          <cell r="E1449">
            <v>560641</v>
          </cell>
          <cell r="F1449" t="str">
            <v>Sales &amp; Marketing</v>
          </cell>
          <cell r="G1449" t="str">
            <v>Territory Sales Manager</v>
          </cell>
        </row>
        <row r="1450">
          <cell r="B1450">
            <v>560642</v>
          </cell>
          <cell r="C1450" t="str">
            <v>AFBL(Marketing)-17144</v>
          </cell>
          <cell r="D1450" t="str">
            <v>Md. Rakib Sarder</v>
          </cell>
          <cell r="E1450">
            <v>560642</v>
          </cell>
          <cell r="F1450" t="str">
            <v>Sales &amp; Marketing</v>
          </cell>
          <cell r="G1450" t="str">
            <v>Territory Sales Manager</v>
          </cell>
        </row>
        <row r="1451">
          <cell r="B1451">
            <v>560643</v>
          </cell>
          <cell r="C1451" t="str">
            <v>AFBL(Marketing)-17145</v>
          </cell>
          <cell r="D1451" t="str">
            <v>Md. Ashabul Yamin Quraishi</v>
          </cell>
          <cell r="E1451">
            <v>560643</v>
          </cell>
          <cell r="F1451" t="str">
            <v>Sales &amp; Marketing</v>
          </cell>
          <cell r="G1451" t="str">
            <v>Territory Sales Manager</v>
          </cell>
        </row>
        <row r="1452">
          <cell r="B1452">
            <v>560646</v>
          </cell>
          <cell r="C1452" t="str">
            <v>AFBL(Marketing)-17146</v>
          </cell>
          <cell r="D1452" t="str">
            <v>Md. Mojammel Haque</v>
          </cell>
          <cell r="E1452">
            <v>560646</v>
          </cell>
          <cell r="F1452" t="str">
            <v>Sales &amp; Marketing</v>
          </cell>
          <cell r="G1452" t="str">
            <v>Territory Sales Manager</v>
          </cell>
        </row>
        <row r="1453">
          <cell r="B1453">
            <v>560647</v>
          </cell>
          <cell r="C1453" t="str">
            <v>AFBL(Marketing)-17147</v>
          </cell>
          <cell r="D1453" t="str">
            <v>Md. Anuwar Hossain</v>
          </cell>
          <cell r="E1453">
            <v>560647</v>
          </cell>
          <cell r="F1453" t="str">
            <v>Sales &amp; Marketing</v>
          </cell>
          <cell r="G1453" t="str">
            <v>Territory Sales Manager</v>
          </cell>
        </row>
        <row r="1454">
          <cell r="B1454">
            <v>560657</v>
          </cell>
          <cell r="C1454" t="str">
            <v>AFBL(Marketing)-17151</v>
          </cell>
          <cell r="D1454" t="str">
            <v>Md. Mehedi Hasan Munna</v>
          </cell>
          <cell r="E1454">
            <v>560657</v>
          </cell>
          <cell r="F1454" t="str">
            <v>Sales &amp; Marketing</v>
          </cell>
          <cell r="G1454" t="str">
            <v>Territory Sales Manager</v>
          </cell>
        </row>
        <row r="1455">
          <cell r="B1455">
            <v>560677</v>
          </cell>
          <cell r="C1455" t="str">
            <v>AGRO-1727</v>
          </cell>
          <cell r="D1455" t="str">
            <v>Khondker Mustafa Wasif</v>
          </cell>
          <cell r="E1455">
            <v>560677</v>
          </cell>
          <cell r="F1455" t="str">
            <v>Quality Control</v>
          </cell>
          <cell r="G1455" t="str">
            <v>Junior Executive</v>
          </cell>
        </row>
        <row r="1456">
          <cell r="B1456">
            <v>560685</v>
          </cell>
          <cell r="C1456" t="str">
            <v>FR6469</v>
          </cell>
          <cell r="D1456" t="str">
            <v>Md. Mashiur Rahman</v>
          </cell>
          <cell r="E1456">
            <v>560685</v>
          </cell>
          <cell r="F1456" t="str">
            <v>Electrical</v>
          </cell>
          <cell r="G1456" t="str">
            <v>Engineer</v>
          </cell>
        </row>
        <row r="1457">
          <cell r="B1457">
            <v>560686</v>
          </cell>
          <cell r="C1457" t="str">
            <v>FR6470</v>
          </cell>
          <cell r="D1457" t="str">
            <v>Ruksana Akter</v>
          </cell>
          <cell r="E1457">
            <v>560686</v>
          </cell>
          <cell r="F1457" t="str">
            <v>HR</v>
          </cell>
          <cell r="G1457" t="str">
            <v>Junior Executive</v>
          </cell>
        </row>
        <row r="1458">
          <cell r="B1458">
            <v>560690</v>
          </cell>
          <cell r="C1458" t="str">
            <v>FR6472</v>
          </cell>
          <cell r="D1458" t="str">
            <v>Md.Hridoy Sarkar</v>
          </cell>
          <cell r="E1458">
            <v>560690</v>
          </cell>
          <cell r="F1458" t="str">
            <v>Quality Control</v>
          </cell>
          <cell r="G1458" t="str">
            <v>Junior Executive</v>
          </cell>
        </row>
        <row r="1459">
          <cell r="B1459">
            <v>560787</v>
          </cell>
          <cell r="C1459" t="str">
            <v>FR6480</v>
          </cell>
          <cell r="D1459" t="str">
            <v>Sawpon Haque(S)</v>
          </cell>
          <cell r="E1459">
            <v>560787</v>
          </cell>
          <cell r="F1459" t="str">
            <v>Quality Control</v>
          </cell>
          <cell r="G1459" t="str">
            <v>Junior Executive</v>
          </cell>
        </row>
        <row r="1460">
          <cell r="B1460">
            <v>560839</v>
          </cell>
          <cell r="C1460" t="str">
            <v>Intern-224</v>
          </cell>
          <cell r="D1460" t="str">
            <v>Bushra Bashir</v>
          </cell>
          <cell r="E1460">
            <v>560839</v>
          </cell>
          <cell r="F1460" t="str">
            <v>Accounts And Finance</v>
          </cell>
          <cell r="G1460" t="str">
            <v>Intern</v>
          </cell>
        </row>
        <row r="1461">
          <cell r="B1461">
            <v>560840</v>
          </cell>
          <cell r="C1461" t="str">
            <v>Intern-225</v>
          </cell>
          <cell r="D1461" t="str">
            <v>Rafi Sharif</v>
          </cell>
          <cell r="E1461">
            <v>560840</v>
          </cell>
          <cell r="F1461" t="str">
            <v>Accounts And Finance</v>
          </cell>
          <cell r="G1461" t="str">
            <v>Intern</v>
          </cell>
        </row>
        <row r="1462">
          <cell r="B1462">
            <v>560857</v>
          </cell>
          <cell r="C1462" t="str">
            <v>FR6486</v>
          </cell>
          <cell r="D1462" t="str">
            <v>Shuvo Kumar</v>
          </cell>
          <cell r="E1462">
            <v>560857</v>
          </cell>
          <cell r="F1462" t="str">
            <v>Quality Control</v>
          </cell>
          <cell r="G1462" t="str">
            <v>Executive</v>
          </cell>
        </row>
        <row r="1463">
          <cell r="B1463">
            <v>560861</v>
          </cell>
          <cell r="C1463" t="str">
            <v>AFBL-R3564</v>
          </cell>
          <cell r="D1463" t="str">
            <v>Md. Shahadat Hossain</v>
          </cell>
          <cell r="E1463">
            <v>560861</v>
          </cell>
          <cell r="F1463" t="str">
            <v>Modern Trade</v>
          </cell>
          <cell r="G1463" t="str">
            <v>Executive</v>
          </cell>
        </row>
        <row r="1464">
          <cell r="B1464">
            <v>560862</v>
          </cell>
          <cell r="C1464" t="str">
            <v>AFBL-R3565</v>
          </cell>
          <cell r="D1464" t="str">
            <v>Rupok Ahmed</v>
          </cell>
          <cell r="E1464">
            <v>560862</v>
          </cell>
          <cell r="F1464" t="str">
            <v>Accounts And Finance</v>
          </cell>
          <cell r="G1464" t="str">
            <v>Senior Executive</v>
          </cell>
        </row>
        <row r="1465">
          <cell r="B1465">
            <v>560907</v>
          </cell>
          <cell r="C1465" t="str">
            <v>AGRO-1736</v>
          </cell>
          <cell r="D1465" t="str">
            <v>Md. Abu Taher Tapu</v>
          </cell>
          <cell r="E1465">
            <v>560907</v>
          </cell>
          <cell r="F1465" t="str">
            <v>Production</v>
          </cell>
          <cell r="G1465" t="str">
            <v>Junior Executive</v>
          </cell>
        </row>
        <row r="1466">
          <cell r="B1466">
            <v>560921</v>
          </cell>
          <cell r="C1466" t="str">
            <v>AFBL-R3566</v>
          </cell>
          <cell r="D1466" t="str">
            <v>Md. Nayeem Islam</v>
          </cell>
          <cell r="E1466">
            <v>560921</v>
          </cell>
          <cell r="F1466" t="str">
            <v>Market Audit &amp; Business Intelligence</v>
          </cell>
          <cell r="G1466" t="str">
            <v>Executive</v>
          </cell>
        </row>
        <row r="1467">
          <cell r="B1467">
            <v>560922</v>
          </cell>
          <cell r="C1467" t="str">
            <v>AFBL-R3567</v>
          </cell>
          <cell r="D1467" t="str">
            <v>Ashir Mahtab Dipta</v>
          </cell>
          <cell r="E1467">
            <v>560922</v>
          </cell>
          <cell r="F1467" t="str">
            <v>Market Audit &amp; Business Intelligence</v>
          </cell>
          <cell r="G1467" t="str">
            <v>Executive</v>
          </cell>
        </row>
        <row r="1468">
          <cell r="B1468">
            <v>560942</v>
          </cell>
          <cell r="C1468" t="str">
            <v>AFBL-R3570</v>
          </cell>
          <cell r="D1468" t="str">
            <v>Md. Shahriar Kamran Pranto</v>
          </cell>
          <cell r="E1468">
            <v>560942</v>
          </cell>
          <cell r="F1468" t="str">
            <v>Market Audit &amp; Business Intelligence</v>
          </cell>
          <cell r="G1468" t="str">
            <v>Executive</v>
          </cell>
        </row>
        <row r="1469">
          <cell r="B1469">
            <v>560998</v>
          </cell>
          <cell r="C1469" t="str">
            <v>AFBL-R3569</v>
          </cell>
          <cell r="D1469" t="str">
            <v>Md. Shibli Sadi</v>
          </cell>
          <cell r="E1469">
            <v>560998</v>
          </cell>
          <cell r="F1469" t="str">
            <v>Distribution</v>
          </cell>
          <cell r="G1469" t="str">
            <v>Junior Executive</v>
          </cell>
        </row>
        <row r="1470">
          <cell r="B1470">
            <v>561008</v>
          </cell>
          <cell r="C1470" t="str">
            <v>AFBL-R3572</v>
          </cell>
          <cell r="D1470" t="str">
            <v>Mehedi Islam</v>
          </cell>
          <cell r="E1470">
            <v>561008</v>
          </cell>
          <cell r="F1470" t="str">
            <v>Digital Marketing</v>
          </cell>
          <cell r="G1470" t="str">
            <v>Assistant Manager</v>
          </cell>
        </row>
        <row r="1471">
          <cell r="B1471">
            <v>561009</v>
          </cell>
          <cell r="C1471" t="str">
            <v>AFBL-R3573</v>
          </cell>
          <cell r="D1471" t="str">
            <v>Md. Arif Angum Jams</v>
          </cell>
          <cell r="E1471">
            <v>561009</v>
          </cell>
          <cell r="F1471" t="str">
            <v>Modern Trade</v>
          </cell>
          <cell r="G1471" t="str">
            <v>Junior Executive</v>
          </cell>
        </row>
        <row r="1472">
          <cell r="B1472">
            <v>561089</v>
          </cell>
          <cell r="C1472" t="str">
            <v>AFBL-R3577</v>
          </cell>
          <cell r="D1472" t="str">
            <v>Abid Hasan Khan</v>
          </cell>
          <cell r="E1472">
            <v>561089</v>
          </cell>
          <cell r="F1472" t="str">
            <v>Sales Admin</v>
          </cell>
          <cell r="G1472" t="str">
            <v>Junior Executive</v>
          </cell>
        </row>
        <row r="1473">
          <cell r="B1473">
            <v>561134</v>
          </cell>
          <cell r="C1473" t="str">
            <v>AFBL-R3578</v>
          </cell>
          <cell r="D1473" t="str">
            <v>SM Raihan Hossain</v>
          </cell>
          <cell r="E1473">
            <v>561134</v>
          </cell>
          <cell r="F1473" t="str">
            <v>Market Audit &amp; Business Intelligence</v>
          </cell>
          <cell r="G1473" t="str">
            <v>Executive</v>
          </cell>
        </row>
        <row r="1474">
          <cell r="B1474">
            <v>561207</v>
          </cell>
          <cell r="C1474" t="str">
            <v>AFBL-R3580</v>
          </cell>
          <cell r="D1474" t="str">
            <v>Tahmid Ahmad Mojumder</v>
          </cell>
          <cell r="E1474">
            <v>561207</v>
          </cell>
          <cell r="F1474" t="str">
            <v>Business Development &amp; Research</v>
          </cell>
          <cell r="G1474" t="str">
            <v>Management Trainee Officer</v>
          </cell>
        </row>
        <row r="1475">
          <cell r="B1475">
            <v>561209</v>
          </cell>
          <cell r="C1475" t="str">
            <v>AFBL-R3581</v>
          </cell>
          <cell r="D1475" t="str">
            <v>Mehaedi Hasan</v>
          </cell>
          <cell r="E1475">
            <v>561209</v>
          </cell>
          <cell r="F1475" t="str">
            <v>Market Audit &amp; Business Intelligence</v>
          </cell>
          <cell r="G1475" t="str">
            <v>Executive</v>
          </cell>
        </row>
        <row r="1476">
          <cell r="B1476">
            <v>561211</v>
          </cell>
          <cell r="C1476" t="str">
            <v>Intern-228</v>
          </cell>
          <cell r="D1476" t="str">
            <v>Md. Ataullah</v>
          </cell>
          <cell r="E1476">
            <v>561211</v>
          </cell>
          <cell r="F1476" t="str">
            <v xml:space="preserve">Cooler Management </v>
          </cell>
          <cell r="G1476" t="str">
            <v>Intern</v>
          </cell>
        </row>
        <row r="1477">
          <cell r="B1477">
            <v>561239</v>
          </cell>
          <cell r="C1477" t="str">
            <v>AFBL(Marketing)-17290</v>
          </cell>
          <cell r="D1477" t="str">
            <v>Md. Mashar Uddin</v>
          </cell>
          <cell r="E1477">
            <v>561239</v>
          </cell>
          <cell r="F1477" t="str">
            <v>Sales &amp; Marketing</v>
          </cell>
          <cell r="G1477" t="str">
            <v>Territory Sales Manager</v>
          </cell>
        </row>
        <row r="1478">
          <cell r="B1478">
            <v>561252</v>
          </cell>
          <cell r="C1478" t="str">
            <v>AFBL(Marketing)-17291</v>
          </cell>
          <cell r="D1478" t="str">
            <v>Md. Anisur Rahman</v>
          </cell>
          <cell r="E1478">
            <v>561252</v>
          </cell>
          <cell r="F1478" t="str">
            <v>Sales &amp; Marketing</v>
          </cell>
          <cell r="G1478" t="str">
            <v>Territory Sales Manager</v>
          </cell>
        </row>
        <row r="1479">
          <cell r="B1479">
            <v>561281</v>
          </cell>
          <cell r="C1479" t="str">
            <v>AFBL(Marketing)-17292</v>
          </cell>
          <cell r="D1479" t="str">
            <v>Md. Abdul Baten</v>
          </cell>
          <cell r="E1479">
            <v>561281</v>
          </cell>
          <cell r="F1479" t="str">
            <v>Sales</v>
          </cell>
          <cell r="G1479" t="str">
            <v>Territory Sales Manager</v>
          </cell>
        </row>
        <row r="1480">
          <cell r="B1480">
            <v>561282</v>
          </cell>
          <cell r="C1480" t="str">
            <v>AFBL(Marketing)-17296</v>
          </cell>
          <cell r="D1480" t="str">
            <v>Md. Moudud Ahamad</v>
          </cell>
          <cell r="E1480">
            <v>561282</v>
          </cell>
          <cell r="F1480" t="str">
            <v>Sales &amp; Marketing</v>
          </cell>
          <cell r="G1480" t="str">
            <v>Territory Sales Manager</v>
          </cell>
        </row>
        <row r="1481">
          <cell r="B1481">
            <v>561283</v>
          </cell>
          <cell r="C1481" t="str">
            <v>AFBL(Marketing)-17297</v>
          </cell>
          <cell r="D1481" t="str">
            <v>Md. Hannan</v>
          </cell>
          <cell r="E1481">
            <v>561283</v>
          </cell>
          <cell r="F1481" t="str">
            <v>Sales &amp; Marketing</v>
          </cell>
          <cell r="G1481" t="str">
            <v>Territory Sales Manager</v>
          </cell>
        </row>
        <row r="1482">
          <cell r="B1482">
            <v>561307</v>
          </cell>
          <cell r="C1482" t="str">
            <v>AFBL-R3586</v>
          </cell>
          <cell r="D1482" t="str">
            <v>Himal Rana</v>
          </cell>
          <cell r="E1482">
            <v>561307</v>
          </cell>
          <cell r="F1482" t="str">
            <v>Modern Trade</v>
          </cell>
          <cell r="G1482" t="str">
            <v>Junior Executive</v>
          </cell>
        </row>
        <row r="1483">
          <cell r="B1483">
            <v>561309</v>
          </cell>
          <cell r="C1483" t="str">
            <v>AFBL-R3588</v>
          </cell>
          <cell r="D1483" t="str">
            <v>Promit Tripura</v>
          </cell>
          <cell r="E1483">
            <v>561309</v>
          </cell>
          <cell r="F1483" t="str">
            <v>Modern Trade</v>
          </cell>
          <cell r="G1483" t="str">
            <v>Junior Executive</v>
          </cell>
        </row>
        <row r="1484">
          <cell r="B1484">
            <v>561310</v>
          </cell>
          <cell r="C1484" t="str">
            <v>AFBL-R3589</v>
          </cell>
          <cell r="D1484" t="str">
            <v>Sulaiman Abbas</v>
          </cell>
          <cell r="E1484">
            <v>561310</v>
          </cell>
          <cell r="F1484" t="str">
            <v>Digital Marketing</v>
          </cell>
          <cell r="G1484" t="str">
            <v>Assistant Manager</v>
          </cell>
        </row>
        <row r="1485">
          <cell r="B1485">
            <v>561321</v>
          </cell>
          <cell r="C1485" t="str">
            <v>Intern-231</v>
          </cell>
          <cell r="D1485" t="str">
            <v>Md. Tanvir Ahammed</v>
          </cell>
          <cell r="E1485">
            <v>561321</v>
          </cell>
          <cell r="F1485" t="str">
            <v>HR</v>
          </cell>
          <cell r="G1485" t="str">
            <v>Intern</v>
          </cell>
        </row>
        <row r="1486">
          <cell r="B1486">
            <v>561348</v>
          </cell>
          <cell r="C1486" t="str">
            <v>Intern-230</v>
          </cell>
          <cell r="D1486" t="str">
            <v>Md. Sohel</v>
          </cell>
          <cell r="E1486">
            <v>561348</v>
          </cell>
          <cell r="F1486" t="str">
            <v>Accounts And Finance</v>
          </cell>
          <cell r="G1486" t="str">
            <v>Intern</v>
          </cell>
        </row>
        <row r="1487">
          <cell r="B1487">
            <v>561388</v>
          </cell>
          <cell r="C1487" t="str">
            <v>AFBL(Marketing)-17323</v>
          </cell>
          <cell r="D1487" t="str">
            <v>Hossain Al Nishan</v>
          </cell>
          <cell r="E1487">
            <v>561388</v>
          </cell>
          <cell r="F1487" t="str">
            <v>Sales &amp; Marketing</v>
          </cell>
          <cell r="G1487" t="str">
            <v>Territory Sales Manager</v>
          </cell>
        </row>
        <row r="1488">
          <cell r="B1488">
            <v>561393</v>
          </cell>
          <cell r="C1488" t="str">
            <v>AFBL(Marketing)-17320</v>
          </cell>
          <cell r="D1488" t="str">
            <v>Amin Hasan Mahmud</v>
          </cell>
          <cell r="E1488">
            <v>561393</v>
          </cell>
          <cell r="F1488" t="str">
            <v>Sales &amp; Marketing</v>
          </cell>
          <cell r="G1488" t="str">
            <v>Territory Sales Manager</v>
          </cell>
        </row>
        <row r="1489">
          <cell r="B1489">
            <v>561394</v>
          </cell>
          <cell r="C1489" t="str">
            <v>AFBL(Marketing)-17321</v>
          </cell>
          <cell r="D1489" t="str">
            <v>Md. Nurnobi</v>
          </cell>
          <cell r="E1489">
            <v>561394</v>
          </cell>
          <cell r="F1489" t="str">
            <v>Sales &amp; Marketing</v>
          </cell>
          <cell r="G1489" t="str">
            <v>Territory Sales Manager</v>
          </cell>
        </row>
        <row r="1490">
          <cell r="B1490">
            <v>561397</v>
          </cell>
          <cell r="C1490" t="str">
            <v>AFBL-R3591</v>
          </cell>
          <cell r="D1490" t="str">
            <v xml:space="preserve">Bivash Adhikary </v>
          </cell>
          <cell r="E1490">
            <v>561397</v>
          </cell>
          <cell r="F1490" t="str">
            <v>Chairman Office</v>
          </cell>
          <cell r="G1490" t="str">
            <v>Junior Executive</v>
          </cell>
        </row>
        <row r="1491">
          <cell r="B1491">
            <v>561398</v>
          </cell>
          <cell r="C1491" t="str">
            <v>AFBL-R3592</v>
          </cell>
          <cell r="D1491" t="str">
            <v>Md. Jakaria Khan</v>
          </cell>
          <cell r="E1491">
            <v>561398</v>
          </cell>
          <cell r="F1491" t="str">
            <v>Business Development &amp; Research</v>
          </cell>
          <cell r="G1491" t="str">
            <v>Management Trainee Officer</v>
          </cell>
        </row>
        <row r="1492">
          <cell r="B1492">
            <v>561400</v>
          </cell>
          <cell r="C1492" t="str">
            <v>AFBL(Marketing)-17319</v>
          </cell>
          <cell r="D1492" t="str">
            <v>Md. Robel Miah</v>
          </cell>
          <cell r="E1492">
            <v>561400</v>
          </cell>
          <cell r="F1492" t="str">
            <v>Sales &amp; Marketing</v>
          </cell>
          <cell r="G1492" t="str">
            <v>Territory Sales Manager</v>
          </cell>
        </row>
        <row r="1493">
          <cell r="B1493">
            <v>561501</v>
          </cell>
          <cell r="C1493" t="str">
            <v>AFBL(Marketing)-17391</v>
          </cell>
          <cell r="D1493" t="str">
            <v>Subrata Kumar Dhali</v>
          </cell>
          <cell r="E1493">
            <v>561501</v>
          </cell>
          <cell r="F1493" t="str">
            <v>Sales &amp; Marketing</v>
          </cell>
          <cell r="G1493" t="str">
            <v>Territory Sales Manager</v>
          </cell>
        </row>
        <row r="1494">
          <cell r="B1494">
            <v>561705</v>
          </cell>
          <cell r="C1494" t="str">
            <v>AFBL-R3593</v>
          </cell>
          <cell r="D1494" t="str">
            <v>Md. Shohidul Islam</v>
          </cell>
          <cell r="E1494">
            <v>561705</v>
          </cell>
          <cell r="F1494" t="str">
            <v>Sales Admin</v>
          </cell>
          <cell r="G1494" t="str">
            <v>Junior Executive</v>
          </cell>
        </row>
        <row r="1495">
          <cell r="B1495">
            <v>561706</v>
          </cell>
          <cell r="C1495" t="str">
            <v>AFBL(Marketing)-17422</v>
          </cell>
          <cell r="D1495" t="str">
            <v>Md. Monzurul Hoque</v>
          </cell>
          <cell r="E1495">
            <v>561706</v>
          </cell>
          <cell r="F1495" t="str">
            <v>Sales &amp; Marketing</v>
          </cell>
          <cell r="G1495" t="str">
            <v>Territory Sales Manager</v>
          </cell>
        </row>
        <row r="1496">
          <cell r="B1496">
            <v>561782</v>
          </cell>
          <cell r="C1496" t="str">
            <v>Intern-232</v>
          </cell>
          <cell r="D1496" t="str">
            <v>K M Asif Mahmud</v>
          </cell>
          <cell r="E1496">
            <v>561782</v>
          </cell>
          <cell r="F1496" t="str">
            <v>Admin</v>
          </cell>
          <cell r="G1496" t="str">
            <v>Intern</v>
          </cell>
        </row>
        <row r="1497">
          <cell r="B1497">
            <v>561797</v>
          </cell>
          <cell r="C1497" t="str">
            <v>Intern-233</v>
          </cell>
          <cell r="D1497" t="str">
            <v>Mehedi Hasan</v>
          </cell>
          <cell r="E1497">
            <v>561797</v>
          </cell>
          <cell r="F1497" t="str">
            <v>Corporate Affairs</v>
          </cell>
          <cell r="G1497" t="str">
            <v>Intern</v>
          </cell>
        </row>
        <row r="1498">
          <cell r="B1498">
            <v>561831</v>
          </cell>
          <cell r="C1498" t="str">
            <v>Intern-235</v>
          </cell>
          <cell r="D1498" t="str">
            <v xml:space="preserve">Nasif Shahriar </v>
          </cell>
          <cell r="E1498">
            <v>561831</v>
          </cell>
          <cell r="F1498" t="str">
            <v>HR</v>
          </cell>
          <cell r="G1498" t="str">
            <v>Intern</v>
          </cell>
        </row>
        <row r="1499">
          <cell r="B1499">
            <v>561852</v>
          </cell>
          <cell r="C1499" t="str">
            <v>AFBL-R3596</v>
          </cell>
          <cell r="D1499" t="str">
            <v>Jahid Faraji</v>
          </cell>
          <cell r="E1499">
            <v>561852</v>
          </cell>
          <cell r="F1499" t="str">
            <v>Sales Admin</v>
          </cell>
          <cell r="G1499" t="str">
            <v>Executive</v>
          </cell>
        </row>
        <row r="1500">
          <cell r="B1500">
            <v>561853</v>
          </cell>
          <cell r="C1500" t="str">
            <v>AFBL(Marketing)-17440</v>
          </cell>
          <cell r="D1500" t="str">
            <v>Tareq Ahmed</v>
          </cell>
          <cell r="E1500">
            <v>561853</v>
          </cell>
          <cell r="F1500" t="str">
            <v>Sales &amp; Marketing</v>
          </cell>
          <cell r="G1500" t="str">
            <v>Territory Sales Manager</v>
          </cell>
        </row>
        <row r="1501">
          <cell r="B1501">
            <v>561867</v>
          </cell>
          <cell r="C1501" t="str">
            <v>AFBL(Marketing)-17445</v>
          </cell>
          <cell r="D1501" t="str">
            <v>Golap Chandro</v>
          </cell>
          <cell r="E1501">
            <v>561867</v>
          </cell>
          <cell r="F1501" t="str">
            <v>Sales &amp; Marketing</v>
          </cell>
          <cell r="G1501" t="str">
            <v>Territory Sales Manager</v>
          </cell>
        </row>
        <row r="1502">
          <cell r="B1502">
            <v>561874</v>
          </cell>
          <cell r="C1502" t="str">
            <v>Intern-237</v>
          </cell>
          <cell r="D1502" t="str">
            <v xml:space="preserve">Shadaab Salehin </v>
          </cell>
          <cell r="E1502">
            <v>561874</v>
          </cell>
          <cell r="F1502" t="str">
            <v>Brand</v>
          </cell>
          <cell r="G1502" t="str">
            <v>Intern</v>
          </cell>
        </row>
        <row r="1503">
          <cell r="B1503">
            <v>561929</v>
          </cell>
          <cell r="C1503" t="str">
            <v>AFBL(Marketing)-17446</v>
          </cell>
          <cell r="D1503" t="str">
            <v>Saiful Islam</v>
          </cell>
          <cell r="E1503">
            <v>561929</v>
          </cell>
          <cell r="F1503" t="str">
            <v>Sales &amp; Marketing</v>
          </cell>
          <cell r="G1503" t="str">
            <v>Territory Sales Manager</v>
          </cell>
        </row>
        <row r="1504">
          <cell r="B1504">
            <v>561931</v>
          </cell>
          <cell r="C1504" t="str">
            <v>AFBL(Marketing)-17448</v>
          </cell>
          <cell r="D1504" t="str">
            <v>Md. Sifat Anam</v>
          </cell>
          <cell r="E1504">
            <v>561931</v>
          </cell>
          <cell r="F1504" t="str">
            <v>Sales &amp; Marketing</v>
          </cell>
          <cell r="G1504" t="str">
            <v>Territory Sales Manager</v>
          </cell>
        </row>
        <row r="1505">
          <cell r="B1505">
            <v>561934</v>
          </cell>
          <cell r="C1505" t="str">
            <v>AFBL(Marketing)-17449</v>
          </cell>
          <cell r="D1505" t="str">
            <v>Md. Shariful Islam</v>
          </cell>
          <cell r="E1505">
            <v>561934</v>
          </cell>
          <cell r="F1505" t="str">
            <v>Sales &amp; Marketing</v>
          </cell>
          <cell r="G1505" t="str">
            <v>Territory Sales Manager</v>
          </cell>
        </row>
        <row r="1506">
          <cell r="B1506">
            <v>562000</v>
          </cell>
          <cell r="C1506" t="str">
            <v>AFBL-R3597</v>
          </cell>
          <cell r="D1506" t="str">
            <v>A. S. M. Nazmus Sakib</v>
          </cell>
          <cell r="E1506">
            <v>562000</v>
          </cell>
          <cell r="F1506" t="str">
            <v>Sales Admin</v>
          </cell>
          <cell r="G1506" t="str">
            <v>Junior Executive</v>
          </cell>
        </row>
        <row r="1507">
          <cell r="B1507">
            <v>562001</v>
          </cell>
          <cell r="C1507" t="str">
            <v>AFBL-R3598</v>
          </cell>
          <cell r="D1507" t="str">
            <v>Easin Arafat</v>
          </cell>
          <cell r="E1507">
            <v>562001</v>
          </cell>
          <cell r="F1507" t="str">
            <v>Sales Admin</v>
          </cell>
          <cell r="G1507" t="str">
            <v>Executive</v>
          </cell>
        </row>
        <row r="1508">
          <cell r="B1508">
            <v>562120</v>
          </cell>
          <cell r="C1508" t="str">
            <v>AFBL-R3599</v>
          </cell>
          <cell r="D1508" t="str">
            <v>Shahidul Islam Chowdhury</v>
          </cell>
          <cell r="E1508">
            <v>562120</v>
          </cell>
          <cell r="F1508" t="str">
            <v>Accounts And Finance</v>
          </cell>
          <cell r="G1508" t="str">
            <v>Senior Executive</v>
          </cell>
        </row>
        <row r="1509">
          <cell r="B1509">
            <v>562188</v>
          </cell>
          <cell r="C1509" t="str">
            <v>Intern-241</v>
          </cell>
          <cell r="D1509" t="str">
            <v>Sayeda Jemima Alam</v>
          </cell>
          <cell r="E1509">
            <v>562188</v>
          </cell>
          <cell r="F1509" t="str">
            <v>Finance &amp; Accounts</v>
          </cell>
          <cell r="G1509" t="str">
            <v>Intern</v>
          </cell>
        </row>
        <row r="1510">
          <cell r="B1510">
            <v>562252</v>
          </cell>
          <cell r="C1510" t="str">
            <v>AFBL-R3600</v>
          </cell>
          <cell r="D1510" t="str">
            <v>Ismail Hossain</v>
          </cell>
          <cell r="E1510">
            <v>562252</v>
          </cell>
          <cell r="F1510" t="str">
            <v>Accounts And Finance</v>
          </cell>
          <cell r="G1510" t="str">
            <v>Executive</v>
          </cell>
        </row>
        <row r="1511">
          <cell r="B1511">
            <v>562253</v>
          </cell>
          <cell r="C1511" t="str">
            <v>Intern-238</v>
          </cell>
          <cell r="D1511" t="str">
            <v>Polash Chandro Debnath</v>
          </cell>
          <cell r="E1511">
            <v>562253</v>
          </cell>
          <cell r="F1511" t="str">
            <v>Brand</v>
          </cell>
          <cell r="G1511" t="str">
            <v>Intern</v>
          </cell>
        </row>
        <row r="1512">
          <cell r="B1512">
            <v>562254</v>
          </cell>
          <cell r="C1512" t="str">
            <v>Intern-239</v>
          </cell>
          <cell r="D1512" t="str">
            <v>Shodip Kumar Sarker</v>
          </cell>
          <cell r="E1512">
            <v>562254</v>
          </cell>
          <cell r="F1512" t="str">
            <v>Brand</v>
          </cell>
          <cell r="G1512" t="str">
            <v>Intern</v>
          </cell>
        </row>
        <row r="1513">
          <cell r="B1513">
            <v>562312</v>
          </cell>
          <cell r="C1513" t="str">
            <v>AFBL-R3604</v>
          </cell>
          <cell r="D1513" t="str">
            <v>Md. Atiqur Rahman</v>
          </cell>
          <cell r="E1513">
            <v>562312</v>
          </cell>
          <cell r="F1513" t="str">
            <v>Accounts And Finance</v>
          </cell>
          <cell r="G1513" t="str">
            <v>Executive</v>
          </cell>
        </row>
        <row r="1514">
          <cell r="B1514">
            <v>562333</v>
          </cell>
          <cell r="C1514" t="str">
            <v>AFBL-R3608</v>
          </cell>
          <cell r="D1514" t="str">
            <v>Puravi Debnath Nitu</v>
          </cell>
          <cell r="E1514">
            <v>562333</v>
          </cell>
          <cell r="F1514" t="str">
            <v>Digital Marketing</v>
          </cell>
          <cell r="G1514" t="str">
            <v>Executive</v>
          </cell>
        </row>
        <row r="1515">
          <cell r="B1515">
            <v>562431</v>
          </cell>
          <cell r="C1515" t="str">
            <v>FR6771</v>
          </cell>
          <cell r="D1515" t="str">
            <v>Sobuj Hosen</v>
          </cell>
          <cell r="E1515">
            <v>562431</v>
          </cell>
          <cell r="F1515" t="str">
            <v>Electrical</v>
          </cell>
          <cell r="G1515" t="str">
            <v>Engineer</v>
          </cell>
        </row>
        <row r="1516">
          <cell r="B1516">
            <v>562454</v>
          </cell>
          <cell r="C1516" t="str">
            <v>AFBL-R3622</v>
          </cell>
          <cell r="D1516" t="str">
            <v>Tahasin Salsabil Labiba</v>
          </cell>
          <cell r="E1516">
            <v>562454</v>
          </cell>
          <cell r="F1516" t="str">
            <v>Legal Affairs</v>
          </cell>
          <cell r="G1516" t="str">
            <v>Junior Executive</v>
          </cell>
        </row>
        <row r="1517">
          <cell r="B1517">
            <v>562472</v>
          </cell>
          <cell r="C1517" t="str">
            <v>AFBL-R3621</v>
          </cell>
          <cell r="D1517" t="str">
            <v>Md. Shah Alam</v>
          </cell>
          <cell r="E1517">
            <v>562472</v>
          </cell>
          <cell r="F1517" t="str">
            <v>Distribution</v>
          </cell>
          <cell r="G1517" t="str">
            <v>Junior Executive</v>
          </cell>
        </row>
        <row r="1518">
          <cell r="B1518">
            <v>562487</v>
          </cell>
          <cell r="C1518" t="str">
            <v>AFBL(Marketing)-17617</v>
          </cell>
          <cell r="D1518" t="str">
            <v xml:space="preserve">Sharjiad Chowdhury </v>
          </cell>
          <cell r="E1518">
            <v>562487</v>
          </cell>
          <cell r="F1518" t="str">
            <v>Sales &amp; Marketing</v>
          </cell>
          <cell r="G1518" t="str">
            <v>Senior Territory Sales Manager</v>
          </cell>
        </row>
        <row r="1519">
          <cell r="B1519">
            <v>562490</v>
          </cell>
          <cell r="C1519" t="str">
            <v>AFBL(Marketing)-17618</v>
          </cell>
          <cell r="D1519" t="str">
            <v>Abir Ahmed</v>
          </cell>
          <cell r="E1519">
            <v>562490</v>
          </cell>
          <cell r="F1519" t="str">
            <v>Sales &amp; Marketing</v>
          </cell>
          <cell r="G1519" t="str">
            <v>Territory Sales Manager</v>
          </cell>
        </row>
        <row r="1520">
          <cell r="B1520">
            <v>562494</v>
          </cell>
          <cell r="C1520" t="str">
            <v>AFBL(Marketing)-17620</v>
          </cell>
          <cell r="D1520" t="str">
            <v>Md. Abdur Razzak Khan</v>
          </cell>
          <cell r="E1520">
            <v>562494</v>
          </cell>
          <cell r="F1520" t="str">
            <v>Sales &amp; Marketing</v>
          </cell>
          <cell r="G1520" t="str">
            <v>Senior Territory Sales Manager</v>
          </cell>
        </row>
        <row r="1521">
          <cell r="B1521">
            <v>562495</v>
          </cell>
          <cell r="C1521" t="str">
            <v>AFBL(Marketing)-17621</v>
          </cell>
          <cell r="D1521" t="str">
            <v xml:space="preserve">Billal </v>
          </cell>
          <cell r="E1521">
            <v>562495</v>
          </cell>
          <cell r="F1521" t="str">
            <v>Sales &amp; Marketing</v>
          </cell>
          <cell r="G1521" t="str">
            <v>Territory Sales Manager</v>
          </cell>
        </row>
        <row r="1522">
          <cell r="B1522">
            <v>562496</v>
          </cell>
          <cell r="C1522" t="str">
            <v>AFBL(Marketing)-17622</v>
          </cell>
          <cell r="D1522" t="str">
            <v>Md. Nazmul Hasan Sohag</v>
          </cell>
          <cell r="E1522">
            <v>562496</v>
          </cell>
          <cell r="F1522" t="str">
            <v>Sales &amp; Marketing</v>
          </cell>
          <cell r="G1522" t="str">
            <v>Territory Sales Manager</v>
          </cell>
        </row>
        <row r="1523">
          <cell r="B1523">
            <v>562498</v>
          </cell>
          <cell r="C1523" t="str">
            <v>AFBL(Marketing)-17623</v>
          </cell>
          <cell r="D1523" t="str">
            <v xml:space="preserve">Md. Palash Mahmud </v>
          </cell>
          <cell r="E1523">
            <v>562498</v>
          </cell>
          <cell r="F1523" t="str">
            <v>Sales &amp; Marketing</v>
          </cell>
          <cell r="G1523" t="str">
            <v>Territory Sales Manager</v>
          </cell>
        </row>
        <row r="1524">
          <cell r="B1524">
            <v>562499</v>
          </cell>
          <cell r="C1524" t="str">
            <v>AFBL(Marketing)-17624</v>
          </cell>
          <cell r="D1524" t="str">
            <v>Md. Shahriar Kabir</v>
          </cell>
          <cell r="E1524">
            <v>562499</v>
          </cell>
          <cell r="F1524" t="str">
            <v>Sales &amp; Marketing</v>
          </cell>
          <cell r="G1524" t="str">
            <v>Territory Sales Manager</v>
          </cell>
        </row>
        <row r="1525">
          <cell r="B1525">
            <v>562500</v>
          </cell>
          <cell r="C1525" t="str">
            <v>AFBL(Marketing)-17625</v>
          </cell>
          <cell r="D1525" t="str">
            <v>Ananta Debnath</v>
          </cell>
          <cell r="E1525">
            <v>562500</v>
          </cell>
          <cell r="F1525" t="str">
            <v>Sales &amp; Marketing</v>
          </cell>
          <cell r="G1525" t="str">
            <v>Territory Sales Manager</v>
          </cell>
        </row>
        <row r="1526">
          <cell r="B1526">
            <v>562501</v>
          </cell>
          <cell r="C1526" t="str">
            <v>AFBL(Marketing)-17626</v>
          </cell>
          <cell r="D1526" t="str">
            <v>Mohammad Abul Hasnat</v>
          </cell>
          <cell r="E1526">
            <v>562501</v>
          </cell>
          <cell r="F1526" t="str">
            <v>Sales &amp; Marketing</v>
          </cell>
          <cell r="G1526" t="str">
            <v>Senior Territory Sales Manager</v>
          </cell>
        </row>
        <row r="1527">
          <cell r="B1527">
            <v>562502</v>
          </cell>
          <cell r="C1527" t="str">
            <v>AFBL(Marketing)-17627</v>
          </cell>
          <cell r="D1527" t="str">
            <v>Abdul Ahad</v>
          </cell>
          <cell r="E1527">
            <v>562502</v>
          </cell>
          <cell r="F1527" t="str">
            <v>Sales &amp; Marketing</v>
          </cell>
          <cell r="G1527" t="str">
            <v>Territory Sales Manager</v>
          </cell>
        </row>
        <row r="1528">
          <cell r="B1528">
            <v>562567</v>
          </cell>
          <cell r="C1528" t="str">
            <v>AFBL-R3623</v>
          </cell>
          <cell r="D1528" t="str">
            <v>Jahanara Begum</v>
          </cell>
          <cell r="E1528">
            <v>562567</v>
          </cell>
          <cell r="F1528" t="str">
            <v>Export</v>
          </cell>
          <cell r="G1528" t="str">
            <v>Assistant Manager</v>
          </cell>
        </row>
        <row r="1529">
          <cell r="B1529">
            <v>562614</v>
          </cell>
          <cell r="C1529" t="str">
            <v>AFBL(Marketing)-17650</v>
          </cell>
          <cell r="D1529" t="str">
            <v>A.B.M Ishmam Bhuiyan</v>
          </cell>
          <cell r="E1529">
            <v>562614</v>
          </cell>
          <cell r="F1529" t="str">
            <v>Sales &amp; Marketing</v>
          </cell>
          <cell r="G1529" t="str">
            <v>Territory Sales Manager</v>
          </cell>
        </row>
        <row r="1530">
          <cell r="B1530">
            <v>562620</v>
          </cell>
          <cell r="C1530" t="str">
            <v>AFBL(Marketing)-17651</v>
          </cell>
          <cell r="D1530" t="str">
            <v>Md. Mosabbir Hossain</v>
          </cell>
          <cell r="E1530">
            <v>562620</v>
          </cell>
          <cell r="F1530" t="str">
            <v>Sales &amp; Marketing</v>
          </cell>
          <cell r="G1530" t="str">
            <v>Territory Sales Manager</v>
          </cell>
        </row>
        <row r="1531">
          <cell r="B1531">
            <v>562637</v>
          </cell>
          <cell r="C1531" t="str">
            <v>AFBL(Marketing)-17656</v>
          </cell>
          <cell r="D1531" t="str">
            <v>Riyanul Islam</v>
          </cell>
          <cell r="E1531">
            <v>562637</v>
          </cell>
          <cell r="F1531" t="str">
            <v>Sales &amp; Marketing</v>
          </cell>
          <cell r="G1531" t="str">
            <v>Territory Sales Manager</v>
          </cell>
        </row>
        <row r="1532">
          <cell r="B1532">
            <v>562638</v>
          </cell>
          <cell r="C1532" t="str">
            <v>AFBL(Marketing)-17657</v>
          </cell>
          <cell r="D1532" t="str">
            <v>Md. Shojib Hossain</v>
          </cell>
          <cell r="E1532">
            <v>562638</v>
          </cell>
          <cell r="F1532" t="str">
            <v>Sales &amp; Marketing</v>
          </cell>
          <cell r="G1532" t="str">
            <v>Territory Sales Manager</v>
          </cell>
        </row>
        <row r="1533">
          <cell r="B1533">
            <v>562640</v>
          </cell>
          <cell r="C1533" t="str">
            <v>AFBL-R3624</v>
          </cell>
          <cell r="D1533" t="str">
            <v>Nazifa Tabassum</v>
          </cell>
          <cell r="E1533">
            <v>562640</v>
          </cell>
          <cell r="F1533" t="str">
            <v>Digital Marketing</v>
          </cell>
          <cell r="G1533" t="str">
            <v>Executive</v>
          </cell>
        </row>
        <row r="1534">
          <cell r="B1534">
            <v>562645</v>
          </cell>
          <cell r="C1534" t="str">
            <v>AFBL(Marketing)-17658</v>
          </cell>
          <cell r="D1534" t="str">
            <v xml:space="preserve">Musa Muhammad Muhiuddin </v>
          </cell>
          <cell r="E1534">
            <v>562645</v>
          </cell>
          <cell r="F1534" t="str">
            <v>Sales &amp; Marketing</v>
          </cell>
          <cell r="G1534" t="str">
            <v>Regional Sales Manager</v>
          </cell>
        </row>
        <row r="1535">
          <cell r="B1535">
            <v>562646</v>
          </cell>
          <cell r="C1535" t="str">
            <v>AFBL(Marketing)-17659</v>
          </cell>
          <cell r="D1535" t="str">
            <v>Md. Ashraful Alam</v>
          </cell>
          <cell r="E1535">
            <v>562646</v>
          </cell>
          <cell r="F1535" t="str">
            <v>Sales &amp; Marketing</v>
          </cell>
          <cell r="G1535" t="str">
            <v>Regional Sales Manager</v>
          </cell>
        </row>
        <row r="1536">
          <cell r="B1536">
            <v>562757</v>
          </cell>
          <cell r="C1536" t="str">
            <v>FR6806</v>
          </cell>
          <cell r="D1536" t="str">
            <v>Md. Selim Reza(I)</v>
          </cell>
          <cell r="E1536">
            <v>562757</v>
          </cell>
          <cell r="F1536" t="str">
            <v>Resource Management &amp; Development</v>
          </cell>
          <cell r="G1536" t="str">
            <v>Junior Executive</v>
          </cell>
        </row>
        <row r="1537">
          <cell r="B1537">
            <v>562758</v>
          </cell>
          <cell r="C1537" t="str">
            <v>AFBL-R3627</v>
          </cell>
          <cell r="D1537" t="str">
            <v>Md. Amirul Alam</v>
          </cell>
          <cell r="E1537">
            <v>562758</v>
          </cell>
          <cell r="F1537" t="str">
            <v>Accounts And Finance</v>
          </cell>
          <cell r="G1537" t="str">
            <v>Junior Executive</v>
          </cell>
        </row>
        <row r="1538">
          <cell r="B1538">
            <v>562766</v>
          </cell>
          <cell r="C1538" t="str">
            <v>AFBL(Hob)-579</v>
          </cell>
          <cell r="D1538" t="str">
            <v>Md Idris Ali</v>
          </cell>
          <cell r="E1538">
            <v>562766</v>
          </cell>
          <cell r="F1538" t="str">
            <v>CSD-9</v>
          </cell>
          <cell r="G1538" t="str">
            <v>Executive</v>
          </cell>
        </row>
        <row r="1539">
          <cell r="B1539">
            <v>562794</v>
          </cell>
          <cell r="C1539" t="str">
            <v>AFBL-R3630</v>
          </cell>
          <cell r="D1539" t="str">
            <v>Md. Mehedi Hasan Imon</v>
          </cell>
          <cell r="E1539">
            <v>562794</v>
          </cell>
          <cell r="F1539" t="str">
            <v>Distribution</v>
          </cell>
          <cell r="G1539" t="str">
            <v>Junior Executive</v>
          </cell>
        </row>
        <row r="1540">
          <cell r="B1540">
            <v>562855</v>
          </cell>
          <cell r="C1540" t="str">
            <v>Intern-242</v>
          </cell>
          <cell r="D1540" t="str">
            <v xml:space="preserve">Ridwan Amin Rafi </v>
          </cell>
          <cell r="E1540">
            <v>562855</v>
          </cell>
          <cell r="F1540" t="str">
            <v>Brand</v>
          </cell>
          <cell r="G1540" t="str">
            <v>Intern</v>
          </cell>
        </row>
        <row r="1541">
          <cell r="B1541">
            <v>562856</v>
          </cell>
          <cell r="C1541" t="str">
            <v>Intern-243</v>
          </cell>
          <cell r="D1541" t="str">
            <v xml:space="preserve">Mohammad Jobair Ahmmed </v>
          </cell>
          <cell r="E1541">
            <v>562856</v>
          </cell>
          <cell r="F1541" t="str">
            <v>Sales Admin</v>
          </cell>
          <cell r="G1541" t="str">
            <v>Intern</v>
          </cell>
        </row>
        <row r="1542">
          <cell r="B1542">
            <v>562867</v>
          </cell>
          <cell r="C1542" t="str">
            <v>Intern-244</v>
          </cell>
          <cell r="D1542" t="str">
            <v>Nayeem Siddique Nishat</v>
          </cell>
          <cell r="E1542">
            <v>562867</v>
          </cell>
          <cell r="F1542" t="str">
            <v>HR</v>
          </cell>
          <cell r="G1542" t="str">
            <v>Intern</v>
          </cell>
        </row>
        <row r="1543">
          <cell r="B1543">
            <v>562877</v>
          </cell>
          <cell r="C1543" t="str">
            <v>AFBL-R3632</v>
          </cell>
          <cell r="D1543" t="str">
            <v>Shaila Sharmin</v>
          </cell>
          <cell r="E1543">
            <v>562877</v>
          </cell>
          <cell r="F1543" t="str">
            <v>Digital Marketing</v>
          </cell>
          <cell r="G1543" t="str">
            <v>Senior Executive</v>
          </cell>
        </row>
        <row r="1544">
          <cell r="B1544">
            <v>562897</v>
          </cell>
          <cell r="C1544" t="str">
            <v>AFBL(Hob)-584</v>
          </cell>
          <cell r="D1544" t="str">
            <v>Araf Ibn Asad</v>
          </cell>
          <cell r="E1544">
            <v>562897</v>
          </cell>
          <cell r="F1544" t="str">
            <v>Quality Control</v>
          </cell>
          <cell r="G1544" t="str">
            <v>Junior Executive</v>
          </cell>
        </row>
        <row r="1545">
          <cell r="B1545">
            <v>562901</v>
          </cell>
          <cell r="C1545" t="str">
            <v>AFBL(Hob)-586</v>
          </cell>
          <cell r="D1545" t="str">
            <v>Md Shakil Hossen</v>
          </cell>
          <cell r="E1545">
            <v>562901</v>
          </cell>
          <cell r="F1545" t="str">
            <v>Mechanical</v>
          </cell>
          <cell r="G1545" t="str">
            <v>Engineer</v>
          </cell>
        </row>
        <row r="1546">
          <cell r="B1546">
            <v>562904</v>
          </cell>
          <cell r="C1546" t="str">
            <v>AFBL(Hob)-587</v>
          </cell>
          <cell r="D1546" t="str">
            <v>Md Tasdid Hasan</v>
          </cell>
          <cell r="E1546">
            <v>562904</v>
          </cell>
          <cell r="F1546" t="str">
            <v>Mechanical</v>
          </cell>
          <cell r="G1546" t="str">
            <v>Engineer</v>
          </cell>
        </row>
        <row r="1547">
          <cell r="B1547">
            <v>562920</v>
          </cell>
          <cell r="C1547" t="str">
            <v>AFBL(Hob)-591</v>
          </cell>
          <cell r="D1547" t="str">
            <v>Tauhidur Rahman</v>
          </cell>
          <cell r="E1547">
            <v>562920</v>
          </cell>
          <cell r="F1547" t="str">
            <v>CSD-7</v>
          </cell>
          <cell r="G1547" t="str">
            <v>Executive</v>
          </cell>
        </row>
        <row r="1548">
          <cell r="B1548">
            <v>562957</v>
          </cell>
          <cell r="C1548" t="str">
            <v>AFBL(Hob)-608</v>
          </cell>
          <cell r="D1548" t="str">
            <v>Md. Zahidur Rahman</v>
          </cell>
          <cell r="E1548">
            <v>562957</v>
          </cell>
          <cell r="F1548" t="str">
            <v>PPS</v>
          </cell>
          <cell r="G1548" t="str">
            <v>Junior Executive</v>
          </cell>
        </row>
        <row r="1549">
          <cell r="B1549">
            <v>562984</v>
          </cell>
          <cell r="C1549" t="str">
            <v>FR6847</v>
          </cell>
          <cell r="D1549" t="str">
            <v>Md. Sultan Salahuddin</v>
          </cell>
          <cell r="E1549">
            <v>562984</v>
          </cell>
          <cell r="F1549" t="str">
            <v>Quality Control</v>
          </cell>
          <cell r="G1549" t="str">
            <v>Deputy Manager</v>
          </cell>
        </row>
        <row r="1550">
          <cell r="B1550">
            <v>562986</v>
          </cell>
          <cell r="C1550" t="str">
            <v>FR6848</v>
          </cell>
          <cell r="D1550" t="str">
            <v>Md. Salamat Ullah Shakil</v>
          </cell>
          <cell r="E1550">
            <v>562986</v>
          </cell>
          <cell r="F1550" t="str">
            <v>Quality Control</v>
          </cell>
          <cell r="G1550" t="str">
            <v>Junior Executive</v>
          </cell>
        </row>
        <row r="1551">
          <cell r="B1551">
            <v>562990</v>
          </cell>
          <cell r="C1551" t="str">
            <v>AFBL-R3636</v>
          </cell>
          <cell r="D1551" t="str">
            <v>Mst. Tasmin</v>
          </cell>
          <cell r="E1551">
            <v>562990</v>
          </cell>
          <cell r="F1551" t="str">
            <v>Admin</v>
          </cell>
          <cell r="G1551" t="str">
            <v>Junior Executive</v>
          </cell>
        </row>
        <row r="1552">
          <cell r="B1552">
            <v>562991</v>
          </cell>
          <cell r="C1552" t="str">
            <v>AFBL-R3635</v>
          </cell>
          <cell r="D1552" t="str">
            <v>Md. Monjur Hossain</v>
          </cell>
          <cell r="E1552">
            <v>562991</v>
          </cell>
          <cell r="F1552" t="str">
            <v>IT</v>
          </cell>
          <cell r="G1552" t="str">
            <v>Deputy Manager</v>
          </cell>
        </row>
        <row r="1553">
          <cell r="B1553">
            <v>562992</v>
          </cell>
          <cell r="C1553" t="str">
            <v>AFBL-R3634</v>
          </cell>
          <cell r="D1553" t="str">
            <v>Rakib Islam</v>
          </cell>
          <cell r="E1553">
            <v>562992</v>
          </cell>
          <cell r="F1553" t="str">
            <v>Legal Affairs</v>
          </cell>
          <cell r="G1553" t="str">
            <v>Executive</v>
          </cell>
        </row>
        <row r="1554">
          <cell r="B1554">
            <v>562993</v>
          </cell>
          <cell r="C1554" t="str">
            <v>AFBL-R3633</v>
          </cell>
          <cell r="D1554" t="str">
            <v>HM Rahat Hossain Apurbo</v>
          </cell>
          <cell r="E1554">
            <v>562993</v>
          </cell>
          <cell r="F1554" t="str">
            <v>Accounts And Finance</v>
          </cell>
          <cell r="G1554" t="str">
            <v>Junior Executive</v>
          </cell>
        </row>
        <row r="1555">
          <cell r="B1555">
            <v>562996</v>
          </cell>
          <cell r="C1555" t="str">
            <v>AFBL(Marketing)-17727</v>
          </cell>
          <cell r="D1555" t="str">
            <v xml:space="preserve">Md. Rashid Kaykobad Pranto </v>
          </cell>
          <cell r="E1555">
            <v>562996</v>
          </cell>
          <cell r="F1555" t="str">
            <v>Sales &amp; Marketing</v>
          </cell>
          <cell r="G1555" t="str">
            <v>Area Sales Manager</v>
          </cell>
        </row>
        <row r="1556">
          <cell r="B1556">
            <v>563004</v>
          </cell>
          <cell r="C1556" t="str">
            <v>AFBL(Marketing)-17733</v>
          </cell>
          <cell r="D1556" t="str">
            <v>Rezwanul Haque</v>
          </cell>
          <cell r="E1556">
            <v>563004</v>
          </cell>
          <cell r="F1556" t="str">
            <v>Sales &amp; Marketing</v>
          </cell>
          <cell r="G1556" t="str">
            <v>Area Sales Manager</v>
          </cell>
        </row>
        <row r="1557">
          <cell r="B1557">
            <v>563005</v>
          </cell>
          <cell r="C1557" t="str">
            <v>AFBL(Marketing)-17734</v>
          </cell>
          <cell r="D1557" t="str">
            <v>Majedul Islam</v>
          </cell>
          <cell r="E1557">
            <v>563005</v>
          </cell>
          <cell r="F1557" t="str">
            <v>Sales &amp; Marketing</v>
          </cell>
          <cell r="G1557" t="str">
            <v>Regional Sales Manager</v>
          </cell>
        </row>
        <row r="1558">
          <cell r="B1558">
            <v>563008</v>
          </cell>
          <cell r="C1558" t="str">
            <v>AFBL(Hob)-619</v>
          </cell>
          <cell r="D1558" t="str">
            <v>Mizu Ahmed</v>
          </cell>
          <cell r="E1558">
            <v>563008</v>
          </cell>
          <cell r="F1558" t="str">
            <v>Electrical</v>
          </cell>
          <cell r="G1558" t="str">
            <v>Engineer</v>
          </cell>
        </row>
        <row r="1559">
          <cell r="B1559">
            <v>563010</v>
          </cell>
          <cell r="C1559" t="str">
            <v>AFBL(Hob)-620</v>
          </cell>
          <cell r="D1559" t="str">
            <v>Md Sajib Khan</v>
          </cell>
          <cell r="E1559">
            <v>563010</v>
          </cell>
          <cell r="F1559" t="str">
            <v>Quality Control</v>
          </cell>
          <cell r="G1559" t="str">
            <v>Junior Executive</v>
          </cell>
        </row>
        <row r="1560">
          <cell r="B1560">
            <v>563073</v>
          </cell>
          <cell r="C1560" t="str">
            <v>AFBL(Marketing)-17736</v>
          </cell>
          <cell r="D1560" t="str">
            <v>Md. Mostafizur Rahman</v>
          </cell>
          <cell r="E1560">
            <v>563073</v>
          </cell>
          <cell r="F1560" t="str">
            <v>Sales &amp; Marketing</v>
          </cell>
          <cell r="G1560" t="str">
            <v>Senior Territory Sales Manager</v>
          </cell>
        </row>
        <row r="1561">
          <cell r="B1561">
            <v>563076</v>
          </cell>
          <cell r="C1561" t="str">
            <v>AFBL(Marketing)-17739</v>
          </cell>
          <cell r="D1561" t="str">
            <v>Md. Rashed Khan</v>
          </cell>
          <cell r="E1561">
            <v>563076</v>
          </cell>
          <cell r="F1561" t="str">
            <v>Sales &amp; Marketing</v>
          </cell>
          <cell r="G1561" t="str">
            <v>Territory Sales Manager</v>
          </cell>
        </row>
        <row r="1562">
          <cell r="B1562">
            <v>563113</v>
          </cell>
          <cell r="C1562" t="str">
            <v>AFBL(Hob)-632</v>
          </cell>
          <cell r="D1562" t="str">
            <v>Md Shariful Islam</v>
          </cell>
          <cell r="E1562">
            <v>563113</v>
          </cell>
          <cell r="F1562" t="str">
            <v>Quality Control</v>
          </cell>
          <cell r="G1562" t="str">
            <v>Junior Executive</v>
          </cell>
        </row>
        <row r="1563">
          <cell r="B1563">
            <v>563156</v>
          </cell>
          <cell r="C1563" t="str">
            <v>AFBL-R3637</v>
          </cell>
          <cell r="D1563" t="str">
            <v>Nazmul Hasan Nader</v>
          </cell>
          <cell r="E1563">
            <v>563156</v>
          </cell>
          <cell r="F1563" t="str">
            <v>Accounts And Finance</v>
          </cell>
          <cell r="G1563" t="str">
            <v>Executive</v>
          </cell>
        </row>
        <row r="1564">
          <cell r="B1564">
            <v>563195</v>
          </cell>
          <cell r="C1564" t="str">
            <v>AFBL-R3638</v>
          </cell>
          <cell r="D1564" t="str">
            <v>Md. Maniruzzaman</v>
          </cell>
          <cell r="E1564">
            <v>563195</v>
          </cell>
          <cell r="F1564" t="str">
            <v>Supply Chain</v>
          </cell>
          <cell r="G1564" t="str">
            <v>Manager</v>
          </cell>
        </row>
        <row r="1565">
          <cell r="B1565">
            <v>563271</v>
          </cell>
          <cell r="C1565" t="str">
            <v>AFBL-R3649</v>
          </cell>
          <cell r="D1565" t="str">
            <v>William Toppo</v>
          </cell>
          <cell r="E1565">
            <v>563271</v>
          </cell>
          <cell r="F1565" t="str">
            <v>Distribution</v>
          </cell>
          <cell r="G1565" t="str">
            <v>Junior Executive</v>
          </cell>
        </row>
        <row r="1566">
          <cell r="B1566">
            <v>563272</v>
          </cell>
          <cell r="C1566" t="str">
            <v>AFBL-R3648</v>
          </cell>
          <cell r="D1566" t="str">
            <v>Md. Tawfiq Haider Chowdhury</v>
          </cell>
          <cell r="E1566">
            <v>563272</v>
          </cell>
          <cell r="F1566" t="str">
            <v>Supply Chain</v>
          </cell>
          <cell r="G1566" t="str">
            <v>Junior Executive</v>
          </cell>
        </row>
        <row r="1567">
          <cell r="B1567">
            <v>563278</v>
          </cell>
          <cell r="C1567" t="str">
            <v>AFBL-R3654</v>
          </cell>
          <cell r="D1567" t="str">
            <v>Aftab Uddin</v>
          </cell>
          <cell r="E1567">
            <v>563278</v>
          </cell>
          <cell r="F1567" t="str">
            <v>Institutional Sales</v>
          </cell>
          <cell r="G1567" t="str">
            <v>Junior Executive</v>
          </cell>
        </row>
        <row r="1568">
          <cell r="B1568">
            <v>563279</v>
          </cell>
          <cell r="C1568" t="str">
            <v>AFBL-R3650</v>
          </cell>
          <cell r="D1568" t="str">
            <v>Md. Rafequl Islam</v>
          </cell>
          <cell r="E1568">
            <v>563279</v>
          </cell>
          <cell r="F1568" t="str">
            <v>Digital Marketing</v>
          </cell>
          <cell r="G1568" t="str">
            <v>Senior Executive</v>
          </cell>
        </row>
        <row r="1569">
          <cell r="B1569">
            <v>563285</v>
          </cell>
          <cell r="C1569" t="str">
            <v>AFBL(Hob)-639</v>
          </cell>
          <cell r="D1569" t="str">
            <v>Jahidul Islam</v>
          </cell>
          <cell r="E1569">
            <v>563285</v>
          </cell>
          <cell r="F1569" t="str">
            <v>Quality Control</v>
          </cell>
          <cell r="G1569" t="str">
            <v>Executive</v>
          </cell>
        </row>
        <row r="1570">
          <cell r="B1570">
            <v>563339</v>
          </cell>
          <cell r="C1570" t="str">
            <v>AFBL-R3656</v>
          </cell>
          <cell r="D1570" t="str">
            <v>Rifah Tamanna Aurpa</v>
          </cell>
          <cell r="E1570">
            <v>563339</v>
          </cell>
          <cell r="F1570" t="str">
            <v>Digital Marketing</v>
          </cell>
          <cell r="G1570" t="str">
            <v>Senior Executive</v>
          </cell>
        </row>
        <row r="1571">
          <cell r="B1571">
            <v>563340</v>
          </cell>
          <cell r="C1571" t="str">
            <v>AFBL-R3657</v>
          </cell>
          <cell r="D1571" t="str">
            <v>Jahidul Islam</v>
          </cell>
          <cell r="E1571">
            <v>563340</v>
          </cell>
          <cell r="F1571" t="str">
            <v>Institutional Sales</v>
          </cell>
          <cell r="G1571" t="str">
            <v>Junior Executive</v>
          </cell>
        </row>
        <row r="1572">
          <cell r="B1572">
            <v>563359</v>
          </cell>
          <cell r="C1572" t="str">
            <v>AFBL-R3658</v>
          </cell>
          <cell r="D1572" t="str">
            <v>Md. Mostafizer Rahman</v>
          </cell>
          <cell r="E1572">
            <v>563359</v>
          </cell>
          <cell r="F1572" t="str">
            <v>Publication</v>
          </cell>
          <cell r="G1572" t="str">
            <v>Manager</v>
          </cell>
        </row>
        <row r="1573">
          <cell r="B1573">
            <v>563360</v>
          </cell>
          <cell r="C1573" t="str">
            <v>AFBL-R3659</v>
          </cell>
          <cell r="D1573" t="str">
            <v>Md. Mahfozur Rahman</v>
          </cell>
          <cell r="E1573">
            <v>563360</v>
          </cell>
          <cell r="F1573" t="str">
            <v>Publication</v>
          </cell>
          <cell r="G1573" t="str">
            <v>Junior Executive</v>
          </cell>
        </row>
        <row r="1574">
          <cell r="B1574">
            <v>563420</v>
          </cell>
          <cell r="C1574" t="str">
            <v>FR6881</v>
          </cell>
          <cell r="D1574" t="str">
            <v>Md. Shakhawat Hossain</v>
          </cell>
          <cell r="E1574">
            <v>563420</v>
          </cell>
          <cell r="F1574" t="str">
            <v>Distribution</v>
          </cell>
          <cell r="G1574" t="str">
            <v>Executive</v>
          </cell>
        </row>
        <row r="1575">
          <cell r="B1575">
            <v>563425</v>
          </cell>
          <cell r="C1575" t="str">
            <v>FR6884</v>
          </cell>
          <cell r="D1575" t="str">
            <v>Md. Ikbal Hossain Borson</v>
          </cell>
          <cell r="E1575">
            <v>563425</v>
          </cell>
          <cell r="F1575" t="str">
            <v>WTP</v>
          </cell>
          <cell r="G1575" t="str">
            <v>Junior Executive</v>
          </cell>
        </row>
        <row r="1576">
          <cell r="B1576">
            <v>563426</v>
          </cell>
          <cell r="C1576" t="str">
            <v>AFBL(Hob)-648</v>
          </cell>
          <cell r="D1576" t="str">
            <v>Mazharul Islam</v>
          </cell>
          <cell r="E1576">
            <v>563426</v>
          </cell>
          <cell r="F1576" t="str">
            <v>Quality Control</v>
          </cell>
          <cell r="G1576" t="str">
            <v>Junior Executive</v>
          </cell>
        </row>
        <row r="1577">
          <cell r="B1577">
            <v>563427</v>
          </cell>
          <cell r="C1577" t="str">
            <v>FR6885</v>
          </cell>
          <cell r="D1577" t="str">
            <v>Ariful Islam</v>
          </cell>
          <cell r="E1577">
            <v>563427</v>
          </cell>
          <cell r="F1577" t="str">
            <v>Quality Control</v>
          </cell>
          <cell r="G1577" t="str">
            <v>Executive</v>
          </cell>
        </row>
        <row r="1578">
          <cell r="B1578">
            <v>563429</v>
          </cell>
          <cell r="C1578" t="str">
            <v>AFBL(Hob)-650</v>
          </cell>
          <cell r="D1578" t="str">
            <v>Md Sultan Ahmmed</v>
          </cell>
          <cell r="E1578">
            <v>563429</v>
          </cell>
          <cell r="F1578" t="str">
            <v>CSD-9</v>
          </cell>
          <cell r="G1578" t="str">
            <v>Junior Executive</v>
          </cell>
        </row>
        <row r="1579">
          <cell r="B1579">
            <v>563433</v>
          </cell>
          <cell r="C1579" t="str">
            <v>AFBL(Hob)-651</v>
          </cell>
          <cell r="D1579" t="str">
            <v>K M Fysal Kabir</v>
          </cell>
          <cell r="E1579">
            <v>563433</v>
          </cell>
          <cell r="F1579" t="str">
            <v>CSD-9</v>
          </cell>
          <cell r="G1579" t="str">
            <v>Junior Executive</v>
          </cell>
        </row>
        <row r="1580">
          <cell r="B1580">
            <v>563441</v>
          </cell>
          <cell r="C1580" t="str">
            <v>AFBL(Hob)-656</v>
          </cell>
          <cell r="D1580" t="str">
            <v>Shazidul Islam Eron</v>
          </cell>
          <cell r="E1580">
            <v>563441</v>
          </cell>
          <cell r="F1580" t="str">
            <v>Mechanical</v>
          </cell>
          <cell r="G1580" t="str">
            <v>Assistant Engineer</v>
          </cell>
        </row>
        <row r="1581">
          <cell r="B1581">
            <v>563497</v>
          </cell>
          <cell r="C1581" t="str">
            <v>FR6914</v>
          </cell>
          <cell r="D1581" t="str">
            <v>Md. Shahinur Islam</v>
          </cell>
          <cell r="E1581">
            <v>563497</v>
          </cell>
          <cell r="F1581" t="str">
            <v>HR</v>
          </cell>
          <cell r="G1581" t="str">
            <v>Executive</v>
          </cell>
        </row>
        <row r="1582">
          <cell r="B1582">
            <v>563500</v>
          </cell>
          <cell r="C1582" t="str">
            <v>FR6915</v>
          </cell>
          <cell r="D1582" t="str">
            <v>Md. Mahabubur Rahman</v>
          </cell>
          <cell r="E1582">
            <v>563500</v>
          </cell>
          <cell r="F1582" t="str">
            <v>Transport</v>
          </cell>
          <cell r="G1582" t="str">
            <v>Deputy Manager</v>
          </cell>
        </row>
        <row r="1583">
          <cell r="B1583">
            <v>563504</v>
          </cell>
          <cell r="C1583" t="str">
            <v>FR6916</v>
          </cell>
          <cell r="D1583" t="str">
            <v>Md. Bellal Hossain</v>
          </cell>
          <cell r="E1583">
            <v>563504</v>
          </cell>
          <cell r="F1583" t="str">
            <v>Transport</v>
          </cell>
          <cell r="G1583" t="str">
            <v>Executive</v>
          </cell>
        </row>
        <row r="1584">
          <cell r="B1584">
            <v>563537</v>
          </cell>
          <cell r="C1584" t="str">
            <v>FR6928</v>
          </cell>
          <cell r="D1584" t="str">
            <v>Tota Islam</v>
          </cell>
          <cell r="E1584">
            <v>563537</v>
          </cell>
          <cell r="F1584" t="str">
            <v>Quality Control</v>
          </cell>
          <cell r="G1584" t="str">
            <v>Executive</v>
          </cell>
        </row>
        <row r="1585">
          <cell r="B1585">
            <v>563546</v>
          </cell>
          <cell r="C1585" t="str">
            <v>AFBL-R3663</v>
          </cell>
          <cell r="D1585" t="str">
            <v>Mehedi  Hasan Rani</v>
          </cell>
          <cell r="E1585">
            <v>563546</v>
          </cell>
          <cell r="F1585" t="str">
            <v>Regulatory Affairs</v>
          </cell>
          <cell r="G1585" t="str">
            <v>Senior Executive</v>
          </cell>
        </row>
        <row r="1586">
          <cell r="B1586">
            <v>563566</v>
          </cell>
          <cell r="C1586" t="str">
            <v>AFBL-R3664</v>
          </cell>
          <cell r="D1586" t="str">
            <v>Md. Jannatul Nayem</v>
          </cell>
          <cell r="E1586">
            <v>563566</v>
          </cell>
          <cell r="F1586" t="str">
            <v>IT</v>
          </cell>
          <cell r="G1586" t="str">
            <v>Assistant Manager</v>
          </cell>
        </row>
        <row r="1587">
          <cell r="B1587">
            <v>563568</v>
          </cell>
          <cell r="C1587" t="str">
            <v>AFBL(Hob)-664</v>
          </cell>
          <cell r="D1587" t="str">
            <v>Md Saeed Hossain</v>
          </cell>
          <cell r="E1587">
            <v>563568</v>
          </cell>
          <cell r="F1587" t="str">
            <v>CSD-9</v>
          </cell>
          <cell r="G1587" t="str">
            <v>Junior Executive</v>
          </cell>
        </row>
        <row r="1588">
          <cell r="B1588">
            <v>563612</v>
          </cell>
          <cell r="C1588" t="str">
            <v>AFBL(Hob)-665</v>
          </cell>
          <cell r="D1588" t="str">
            <v>Md Ashiqur Rahaman Jamader</v>
          </cell>
          <cell r="E1588">
            <v>563612</v>
          </cell>
          <cell r="F1588" t="str">
            <v>CSD-8</v>
          </cell>
          <cell r="G1588" t="str">
            <v>Junior Executive</v>
          </cell>
        </row>
        <row r="1589">
          <cell r="B1589">
            <v>563621</v>
          </cell>
          <cell r="C1589" t="str">
            <v>AFBL(Hob)-666</v>
          </cell>
          <cell r="D1589" t="str">
            <v>Prakash Kumar Roy</v>
          </cell>
          <cell r="E1589">
            <v>563621</v>
          </cell>
          <cell r="F1589" t="str">
            <v>CSD-9</v>
          </cell>
          <cell r="G1589" t="str">
            <v>Junior Executive</v>
          </cell>
        </row>
        <row r="1590">
          <cell r="B1590">
            <v>563668</v>
          </cell>
          <cell r="C1590" t="str">
            <v>FR6958</v>
          </cell>
          <cell r="D1590" t="str">
            <v>Md. Mozahidul Haque Bhuyan</v>
          </cell>
          <cell r="E1590">
            <v>563668</v>
          </cell>
          <cell r="F1590" t="str">
            <v>Admin</v>
          </cell>
          <cell r="G1590" t="str">
            <v>Senior Executive</v>
          </cell>
        </row>
        <row r="1591">
          <cell r="B1591">
            <v>563670</v>
          </cell>
          <cell r="C1591" t="str">
            <v>AFBL(Marketing)-17847</v>
          </cell>
          <cell r="D1591" t="str">
            <v>Goutom Chandra Dey</v>
          </cell>
          <cell r="E1591">
            <v>563670</v>
          </cell>
          <cell r="F1591" t="str">
            <v>Sales &amp; Marketing</v>
          </cell>
          <cell r="G1591" t="str">
            <v>Sales Manager</v>
          </cell>
        </row>
        <row r="1592">
          <cell r="B1592">
            <v>563671</v>
          </cell>
          <cell r="C1592" t="str">
            <v>AFBL-R3665</v>
          </cell>
          <cell r="D1592" t="str">
            <v>Md. Ashiqur Rahman</v>
          </cell>
          <cell r="E1592">
            <v>563671</v>
          </cell>
          <cell r="F1592" t="str">
            <v>HORECA</v>
          </cell>
          <cell r="G1592" t="str">
            <v>Senior Executive</v>
          </cell>
        </row>
        <row r="1593">
          <cell r="B1593">
            <v>563724</v>
          </cell>
          <cell r="C1593" t="str">
            <v>AFBL(Marketing)-17848</v>
          </cell>
          <cell r="D1593" t="str">
            <v>Md. Hanzala</v>
          </cell>
          <cell r="E1593">
            <v>563724</v>
          </cell>
          <cell r="F1593" t="str">
            <v>Sales &amp; Marketing</v>
          </cell>
          <cell r="G1593" t="str">
            <v>Territory Sales Manager</v>
          </cell>
        </row>
        <row r="1594">
          <cell r="B1594">
            <v>563725</v>
          </cell>
          <cell r="C1594" t="str">
            <v>AFBL(Marketing)-17849</v>
          </cell>
          <cell r="D1594" t="str">
            <v>Md. Shohag</v>
          </cell>
          <cell r="E1594">
            <v>563725</v>
          </cell>
          <cell r="F1594" t="str">
            <v>Sales &amp; Marketing</v>
          </cell>
          <cell r="G1594" t="str">
            <v>Territory Sales Manager</v>
          </cell>
        </row>
        <row r="1595">
          <cell r="B1595">
            <v>563730</v>
          </cell>
          <cell r="C1595" t="str">
            <v>AFBL(Marketing)-17850</v>
          </cell>
          <cell r="D1595" t="str">
            <v>Md. Masum Billah</v>
          </cell>
          <cell r="E1595">
            <v>563730</v>
          </cell>
          <cell r="F1595" t="str">
            <v>Sales &amp; Marketing</v>
          </cell>
          <cell r="G1595" t="str">
            <v>Territory Sales Manager</v>
          </cell>
        </row>
        <row r="1596">
          <cell r="B1596">
            <v>563731</v>
          </cell>
          <cell r="C1596" t="str">
            <v>AFBL(Marketing)-17851</v>
          </cell>
          <cell r="D1596" t="str">
            <v>Md. Mehedi Hasan</v>
          </cell>
          <cell r="E1596">
            <v>563731</v>
          </cell>
          <cell r="F1596" t="str">
            <v>Sales &amp; Marketing</v>
          </cell>
          <cell r="G1596" t="str">
            <v>Territory Sales Manager</v>
          </cell>
        </row>
        <row r="1597">
          <cell r="B1597">
            <v>511134</v>
          </cell>
          <cell r="C1597" t="str">
            <v>AVL-R04</v>
          </cell>
          <cell r="D1597" t="str">
            <v>Muhammad Fuad Hussain</v>
          </cell>
          <cell r="E1597">
            <v>511134</v>
          </cell>
          <cell r="F1597" t="str">
            <v>Accounts And Finance</v>
          </cell>
          <cell r="G1597" t="str">
            <v>Director</v>
          </cell>
        </row>
        <row r="1598">
          <cell r="B1598">
            <v>529352</v>
          </cell>
          <cell r="C1598" t="str">
            <v>AVL-R67</v>
          </cell>
          <cell r="D1598" t="str">
            <v>Saumik Das Shuvo</v>
          </cell>
          <cell r="E1598">
            <v>529352</v>
          </cell>
          <cell r="F1598" t="str">
            <v>Finance &amp; Accounts</v>
          </cell>
          <cell r="G1598" t="str">
            <v>Deputy Manager</v>
          </cell>
        </row>
        <row r="1599">
          <cell r="B1599">
            <v>530560</v>
          </cell>
          <cell r="C1599" t="str">
            <v>AVL-88</v>
          </cell>
          <cell r="D1599" t="str">
            <v>Nurun Nahar Munny</v>
          </cell>
          <cell r="E1599">
            <v>530560</v>
          </cell>
          <cell r="F1599" t="str">
            <v>Accounts And Finance</v>
          </cell>
          <cell r="G1599" t="str">
            <v>Executive</v>
          </cell>
        </row>
        <row r="1600">
          <cell r="B1600">
            <v>530666</v>
          </cell>
          <cell r="C1600" t="str">
            <v>AVL-94</v>
          </cell>
          <cell r="D1600" t="str">
            <v>Md. Zakir Hossain</v>
          </cell>
          <cell r="E1600">
            <v>530666</v>
          </cell>
          <cell r="F1600" t="str">
            <v>Accounts And Finance</v>
          </cell>
          <cell r="G1600" t="str">
            <v>Assistant Manager</v>
          </cell>
        </row>
        <row r="1601">
          <cell r="B1601">
            <v>540613</v>
          </cell>
          <cell r="C1601" t="str">
            <v>AVL-131</v>
          </cell>
          <cell r="D1601" t="str">
            <v>Md. Junayed Hossain</v>
          </cell>
          <cell r="E1601">
            <v>540613</v>
          </cell>
          <cell r="F1601" t="str">
            <v>Finance &amp; Accounts</v>
          </cell>
          <cell r="G1601" t="str">
            <v>Senior Executive</v>
          </cell>
        </row>
        <row r="1602">
          <cell r="B1602">
            <v>550334</v>
          </cell>
          <cell r="C1602" t="str">
            <v>AVL-137</v>
          </cell>
          <cell r="D1602" t="str">
            <v>Md. Maksuder Rahman</v>
          </cell>
          <cell r="E1602">
            <v>550334</v>
          </cell>
          <cell r="F1602" t="str">
            <v>Finance &amp; Accounts</v>
          </cell>
          <cell r="G1602" t="str">
            <v>Manager</v>
          </cell>
        </row>
        <row r="1603">
          <cell r="B1603">
            <v>1356</v>
          </cell>
          <cell r="C1603" t="str">
            <v>R367</v>
          </cell>
          <cell r="D1603" t="str">
            <v>Abu Nasar Zahid Al Mahmud</v>
          </cell>
          <cell r="E1603">
            <v>1356</v>
          </cell>
          <cell r="F1603" t="str">
            <v>Dairy Operations</v>
          </cell>
          <cell r="G1603" t="str">
            <v>Deputy General Manager</v>
          </cell>
        </row>
        <row r="1604">
          <cell r="B1604">
            <v>1543</v>
          </cell>
          <cell r="C1604" t="str">
            <v>15432251422</v>
          </cell>
          <cell r="D1604" t="str">
            <v>Md. Arju Mia</v>
          </cell>
          <cell r="E1604">
            <v>1543</v>
          </cell>
          <cell r="F1604" t="str">
            <v>Dairy</v>
          </cell>
          <cell r="G1604" t="str">
            <v>Executive</v>
          </cell>
        </row>
        <row r="1605">
          <cell r="B1605">
            <v>1781</v>
          </cell>
          <cell r="C1605" t="str">
            <v>17812251373</v>
          </cell>
          <cell r="D1605" t="str">
            <v>Md. Solaiman Kabir</v>
          </cell>
          <cell r="E1605">
            <v>1781</v>
          </cell>
          <cell r="F1605" t="str">
            <v>Dairy QC</v>
          </cell>
          <cell r="G1605" t="str">
            <v>Senior Executive</v>
          </cell>
        </row>
        <row r="1606">
          <cell r="B1606">
            <v>33150</v>
          </cell>
          <cell r="C1606" t="str">
            <v>331502251403</v>
          </cell>
          <cell r="D1606" t="str">
            <v>Md. Arifur Rahman</v>
          </cell>
          <cell r="E1606">
            <v>33150</v>
          </cell>
          <cell r="F1606" t="str">
            <v>Dairy</v>
          </cell>
          <cell r="G1606" t="str">
            <v>Junior Executive</v>
          </cell>
        </row>
        <row r="1607">
          <cell r="B1607">
            <v>56632</v>
          </cell>
          <cell r="C1607" t="str">
            <v>FR762</v>
          </cell>
          <cell r="D1607" t="str">
            <v>Md. Alamin</v>
          </cell>
          <cell r="E1607">
            <v>56632</v>
          </cell>
          <cell r="F1607" t="str">
            <v>Dairy QC</v>
          </cell>
          <cell r="G1607" t="str">
            <v>Assistant Manager</v>
          </cell>
        </row>
        <row r="1608">
          <cell r="B1608">
            <v>58162</v>
          </cell>
          <cell r="C1608" t="str">
            <v>AFBL(Marketing)-129</v>
          </cell>
          <cell r="D1608" t="str">
            <v>K M Mamunur Rashed</v>
          </cell>
          <cell r="E1608">
            <v>58162</v>
          </cell>
          <cell r="F1608" t="str">
            <v>Sales &amp; Marketing</v>
          </cell>
          <cell r="G1608" t="str">
            <v>Territory Sales Manager</v>
          </cell>
        </row>
        <row r="1609">
          <cell r="B1609">
            <v>58209</v>
          </cell>
          <cell r="C1609" t="str">
            <v>AFBL(Marketing)-176</v>
          </cell>
          <cell r="D1609" t="str">
            <v>Noor Mohammad</v>
          </cell>
          <cell r="E1609">
            <v>58209</v>
          </cell>
          <cell r="F1609" t="str">
            <v>Sales &amp; Marketing</v>
          </cell>
          <cell r="G1609" t="str">
            <v>Territory Sales Manager</v>
          </cell>
        </row>
        <row r="1610">
          <cell r="B1610">
            <v>58584</v>
          </cell>
          <cell r="C1610" t="str">
            <v>AFBL(Marketing)-551</v>
          </cell>
          <cell r="D1610" t="str">
            <v>Md. Asaduzzaman</v>
          </cell>
          <cell r="E1610">
            <v>58584</v>
          </cell>
          <cell r="F1610" t="str">
            <v>Sales &amp; Marketing</v>
          </cell>
          <cell r="G1610" t="str">
            <v>Regional Sales Manager</v>
          </cell>
        </row>
        <row r="1611">
          <cell r="B1611">
            <v>71920</v>
          </cell>
          <cell r="C1611" t="str">
            <v>FR773</v>
          </cell>
          <cell r="D1611" t="str">
            <v>Md. Jubair Hossain</v>
          </cell>
          <cell r="E1611">
            <v>71920</v>
          </cell>
          <cell r="F1611" t="str">
            <v>Dairy</v>
          </cell>
          <cell r="G1611" t="str">
            <v>Senior Executive</v>
          </cell>
        </row>
        <row r="1612">
          <cell r="B1612">
            <v>77466</v>
          </cell>
          <cell r="C1612" t="str">
            <v>FR786</v>
          </cell>
          <cell r="D1612" t="str">
            <v>Md. Roych Uddin</v>
          </cell>
          <cell r="E1612">
            <v>77466</v>
          </cell>
          <cell r="F1612" t="str">
            <v>Accounts And Finance</v>
          </cell>
          <cell r="G1612" t="str">
            <v>Senior Executive</v>
          </cell>
        </row>
        <row r="1613">
          <cell r="B1613">
            <v>77764</v>
          </cell>
          <cell r="C1613" t="str">
            <v>FR794</v>
          </cell>
          <cell r="D1613" t="str">
            <v>Rabiul Alam</v>
          </cell>
          <cell r="E1613">
            <v>77764</v>
          </cell>
          <cell r="F1613" t="str">
            <v>Dairy distribution</v>
          </cell>
          <cell r="G1613" t="str">
            <v>Deputy Manager</v>
          </cell>
        </row>
        <row r="1614">
          <cell r="B1614">
            <v>77957</v>
          </cell>
          <cell r="C1614" t="str">
            <v>FR797</v>
          </cell>
          <cell r="D1614" t="str">
            <v>Md. Salim Habib</v>
          </cell>
          <cell r="E1614">
            <v>77957</v>
          </cell>
          <cell r="F1614" t="str">
            <v>Dairy distribution</v>
          </cell>
          <cell r="G1614" t="str">
            <v>Senior Executive</v>
          </cell>
        </row>
        <row r="1615">
          <cell r="B1615">
            <v>78293</v>
          </cell>
          <cell r="C1615" t="str">
            <v>AFBL(CC)-005</v>
          </cell>
          <cell r="D1615" t="str">
            <v>Mr. Rabiul Karim</v>
          </cell>
          <cell r="E1615">
            <v>78293</v>
          </cell>
          <cell r="F1615" t="str">
            <v xml:space="preserve">General </v>
          </cell>
          <cell r="G1615" t="str">
            <v>Area Manager</v>
          </cell>
        </row>
        <row r="1616">
          <cell r="B1616">
            <v>78425</v>
          </cell>
          <cell r="C1616" t="str">
            <v>AFBL(CC)-012</v>
          </cell>
          <cell r="D1616" t="str">
            <v>Md. Abdullah Al Mamun</v>
          </cell>
          <cell r="E1616">
            <v>78425</v>
          </cell>
          <cell r="F1616" t="str">
            <v>Chilling Center</v>
          </cell>
          <cell r="G1616" t="str">
            <v>Veterinary Doctor</v>
          </cell>
        </row>
        <row r="1617">
          <cell r="B1617">
            <v>86178</v>
          </cell>
          <cell r="C1617" t="str">
            <v>AFBL(Marketing)-903</v>
          </cell>
          <cell r="D1617" t="str">
            <v>Md. Abual Hossain Sarder</v>
          </cell>
          <cell r="E1617">
            <v>86178</v>
          </cell>
          <cell r="F1617" t="str">
            <v>Sales &amp; Marketing</v>
          </cell>
          <cell r="G1617" t="str">
            <v>Territory Sales Manager</v>
          </cell>
        </row>
        <row r="1618">
          <cell r="B1618">
            <v>96370</v>
          </cell>
          <cell r="C1618" t="str">
            <v>AFBL(Marketing)-948</v>
          </cell>
          <cell r="D1618" t="str">
            <v>Md. Sakawat Hossan</v>
          </cell>
          <cell r="E1618">
            <v>96370</v>
          </cell>
          <cell r="F1618" t="str">
            <v>Sales &amp; Marketing</v>
          </cell>
          <cell r="G1618" t="str">
            <v>Area Sales Manager</v>
          </cell>
        </row>
        <row r="1619">
          <cell r="B1619">
            <v>101892</v>
          </cell>
          <cell r="C1619" t="str">
            <v>FR950</v>
          </cell>
          <cell r="D1619" t="str">
            <v xml:space="preserve">Md. Mahabubul Alam </v>
          </cell>
          <cell r="E1619">
            <v>101892</v>
          </cell>
          <cell r="F1619" t="str">
            <v>Dairy QC</v>
          </cell>
          <cell r="G1619" t="str">
            <v>Senior Executive</v>
          </cell>
        </row>
        <row r="1620">
          <cell r="B1620">
            <v>101900</v>
          </cell>
          <cell r="C1620" t="str">
            <v>FR954</v>
          </cell>
          <cell r="D1620" t="str">
            <v>Md. Shafi-Al-Mujnibeen</v>
          </cell>
          <cell r="E1620">
            <v>101900</v>
          </cell>
          <cell r="F1620" t="str">
            <v>Dairy QC</v>
          </cell>
          <cell r="G1620" t="str">
            <v>Assistant Manager</v>
          </cell>
        </row>
        <row r="1621">
          <cell r="B1621">
            <v>111284</v>
          </cell>
          <cell r="C1621" t="str">
            <v>FR1017</v>
          </cell>
          <cell r="D1621" t="str">
            <v>Dr. Md. Abdul Motaleb</v>
          </cell>
          <cell r="E1621">
            <v>111284</v>
          </cell>
          <cell r="F1621" t="str">
            <v>Dairy Farm</v>
          </cell>
          <cell r="G1621" t="str">
            <v>Assistant General Manager</v>
          </cell>
        </row>
        <row r="1622">
          <cell r="B1622">
            <v>118575</v>
          </cell>
          <cell r="C1622" t="str">
            <v>FR1081</v>
          </cell>
          <cell r="D1622" t="str">
            <v xml:space="preserve">Md. Sohel Rana </v>
          </cell>
          <cell r="E1622">
            <v>118575</v>
          </cell>
          <cell r="F1622" t="str">
            <v>Dairy distribution</v>
          </cell>
          <cell r="G1622" t="str">
            <v>Assistant Manager</v>
          </cell>
        </row>
        <row r="1623">
          <cell r="B1623">
            <v>124726</v>
          </cell>
          <cell r="C1623" t="str">
            <v>AFBL(Marketing)-1311</v>
          </cell>
          <cell r="D1623" t="str">
            <v>Narayan Chandra Shil</v>
          </cell>
          <cell r="E1623">
            <v>124726</v>
          </cell>
          <cell r="F1623" t="str">
            <v>Distribution</v>
          </cell>
          <cell r="G1623" t="str">
            <v>Junior Executive</v>
          </cell>
        </row>
        <row r="1624">
          <cell r="B1624">
            <v>133165</v>
          </cell>
          <cell r="C1624" t="str">
            <v>FR1250</v>
          </cell>
          <cell r="D1624" t="str">
            <v xml:space="preserve">Md. Nazmul Hasan </v>
          </cell>
          <cell r="E1624">
            <v>133165</v>
          </cell>
          <cell r="F1624" t="str">
            <v>Dairy</v>
          </cell>
          <cell r="G1624" t="str">
            <v>Assistant Manager</v>
          </cell>
        </row>
        <row r="1625">
          <cell r="B1625">
            <v>186689</v>
          </cell>
          <cell r="C1625" t="str">
            <v>FR1538</v>
          </cell>
          <cell r="D1625" t="str">
            <v>Anamul Haque</v>
          </cell>
          <cell r="E1625">
            <v>186689</v>
          </cell>
          <cell r="F1625" t="str">
            <v>Dairy</v>
          </cell>
          <cell r="G1625" t="str">
            <v>Assistant Manager</v>
          </cell>
        </row>
        <row r="1626">
          <cell r="B1626">
            <v>197364</v>
          </cell>
          <cell r="C1626" t="str">
            <v>AFBL(Marketing)-2328</v>
          </cell>
          <cell r="D1626" t="str">
            <v xml:space="preserve">Chandroshekhar Ghosh </v>
          </cell>
          <cell r="E1626">
            <v>197364</v>
          </cell>
          <cell r="F1626" t="str">
            <v>Sales &amp; Marketing</v>
          </cell>
          <cell r="G1626" t="str">
            <v>Area Sales Manager</v>
          </cell>
        </row>
        <row r="1627">
          <cell r="B1627">
            <v>199091</v>
          </cell>
          <cell r="C1627" t="str">
            <v>FR1617</v>
          </cell>
          <cell r="D1627" t="str">
            <v>Rubel Biswas</v>
          </cell>
          <cell r="E1627">
            <v>199091</v>
          </cell>
          <cell r="F1627" t="str">
            <v>Dairy</v>
          </cell>
          <cell r="G1627" t="str">
            <v>Senior Executive</v>
          </cell>
        </row>
        <row r="1628">
          <cell r="B1628">
            <v>199353</v>
          </cell>
          <cell r="C1628" t="str">
            <v>FR1625</v>
          </cell>
          <cell r="D1628" t="str">
            <v>Dider Hossain</v>
          </cell>
          <cell r="E1628">
            <v>199353</v>
          </cell>
          <cell r="F1628" t="str">
            <v>Dairy</v>
          </cell>
          <cell r="G1628" t="str">
            <v>Senior Executive</v>
          </cell>
        </row>
        <row r="1629">
          <cell r="B1629">
            <v>224208</v>
          </cell>
          <cell r="C1629" t="str">
            <v>AFBL(CC)-098</v>
          </cell>
          <cell r="D1629" t="str">
            <v>Md. Ayub Ali</v>
          </cell>
          <cell r="E1629">
            <v>224208</v>
          </cell>
          <cell r="F1629" t="str">
            <v>Chilling Center</v>
          </cell>
          <cell r="G1629" t="str">
            <v>Area Manager</v>
          </cell>
        </row>
        <row r="1630">
          <cell r="B1630">
            <v>242950</v>
          </cell>
          <cell r="C1630" t="str">
            <v>FR1839</v>
          </cell>
          <cell r="D1630" t="str">
            <v>Md. Delowar Hossain</v>
          </cell>
          <cell r="E1630">
            <v>242950</v>
          </cell>
          <cell r="F1630" t="str">
            <v>Dairy distribution</v>
          </cell>
          <cell r="G1630" t="str">
            <v>Executive</v>
          </cell>
        </row>
        <row r="1631">
          <cell r="B1631">
            <v>243054</v>
          </cell>
          <cell r="C1631" t="str">
            <v>AFBL(CC)-117</v>
          </cell>
          <cell r="D1631" t="str">
            <v>Md. Lovelu Rahman</v>
          </cell>
          <cell r="E1631">
            <v>243054</v>
          </cell>
          <cell r="F1631" t="str">
            <v>Chilling Center</v>
          </cell>
          <cell r="G1631" t="str">
            <v>Senior Executive</v>
          </cell>
        </row>
        <row r="1632">
          <cell r="B1632">
            <v>286565</v>
          </cell>
          <cell r="C1632" t="str">
            <v>FR2028</v>
          </cell>
          <cell r="D1632" t="str">
            <v>Md. Mohosin Ali</v>
          </cell>
          <cell r="E1632">
            <v>286565</v>
          </cell>
          <cell r="F1632" t="str">
            <v>Dairy</v>
          </cell>
          <cell r="G1632" t="str">
            <v>Senior Executive</v>
          </cell>
        </row>
        <row r="1633">
          <cell r="B1633">
            <v>288603</v>
          </cell>
          <cell r="C1633" t="str">
            <v>FR2047</v>
          </cell>
          <cell r="D1633" t="str">
            <v>Md. Rezaur Rahman</v>
          </cell>
          <cell r="E1633">
            <v>288603</v>
          </cell>
          <cell r="F1633" t="str">
            <v>Dairy</v>
          </cell>
          <cell r="G1633" t="str">
            <v>Senior Executive</v>
          </cell>
        </row>
        <row r="1634">
          <cell r="B1634">
            <v>288661</v>
          </cell>
          <cell r="C1634" t="str">
            <v>AFBL(CC)-170</v>
          </cell>
          <cell r="D1634" t="str">
            <v>Md. Robin Babu</v>
          </cell>
          <cell r="E1634">
            <v>288661</v>
          </cell>
          <cell r="F1634" t="str">
            <v>Store</v>
          </cell>
          <cell r="G1634" t="str">
            <v>Executive</v>
          </cell>
        </row>
        <row r="1635">
          <cell r="B1635">
            <v>295806</v>
          </cell>
          <cell r="C1635" t="str">
            <v>FR2097</v>
          </cell>
          <cell r="D1635" t="str">
            <v>Md. Maruf Hassan</v>
          </cell>
          <cell r="E1635">
            <v>295806</v>
          </cell>
          <cell r="F1635" t="str">
            <v>Dairy QC</v>
          </cell>
          <cell r="G1635" t="str">
            <v>Senior Executive</v>
          </cell>
        </row>
        <row r="1636">
          <cell r="B1636">
            <v>295811</v>
          </cell>
          <cell r="C1636" t="str">
            <v>FR2098</v>
          </cell>
          <cell r="D1636" t="str">
            <v>Md. Mehedi Hasan</v>
          </cell>
          <cell r="E1636">
            <v>295811</v>
          </cell>
          <cell r="F1636" t="str">
            <v>Dairy QC</v>
          </cell>
          <cell r="G1636" t="str">
            <v>Senior Executive</v>
          </cell>
        </row>
        <row r="1637">
          <cell r="B1637">
            <v>331055</v>
          </cell>
          <cell r="C1637" t="str">
            <v>FR2250</v>
          </cell>
          <cell r="D1637" t="str">
            <v xml:space="preserve">Md. Alamin </v>
          </cell>
          <cell r="E1637">
            <v>331055</v>
          </cell>
          <cell r="F1637" t="str">
            <v>Dairy</v>
          </cell>
          <cell r="G1637" t="str">
            <v>Assistant Engineer</v>
          </cell>
        </row>
        <row r="1638">
          <cell r="B1638">
            <v>339626</v>
          </cell>
          <cell r="C1638" t="str">
            <v>FR2291</v>
          </cell>
          <cell r="D1638" t="str">
            <v>Md. Asaduzzaman</v>
          </cell>
          <cell r="E1638">
            <v>339626</v>
          </cell>
          <cell r="F1638" t="str">
            <v>Dairy QC</v>
          </cell>
          <cell r="G1638" t="str">
            <v>Senior Executive</v>
          </cell>
        </row>
        <row r="1639">
          <cell r="B1639">
            <v>339641</v>
          </cell>
          <cell r="C1639" t="str">
            <v>FR2295</v>
          </cell>
          <cell r="D1639" t="str">
            <v>Md. Azimuddin</v>
          </cell>
          <cell r="E1639">
            <v>339641</v>
          </cell>
          <cell r="F1639" t="str">
            <v>Dairy QC</v>
          </cell>
          <cell r="G1639" t="str">
            <v>Senior Executive</v>
          </cell>
        </row>
        <row r="1640">
          <cell r="B1640">
            <v>339656</v>
          </cell>
          <cell r="C1640" t="str">
            <v>FR2297</v>
          </cell>
          <cell r="D1640" t="str">
            <v>Md. Yakub Sharif</v>
          </cell>
          <cell r="E1640">
            <v>339656</v>
          </cell>
          <cell r="F1640" t="str">
            <v>Dairy QC</v>
          </cell>
          <cell r="G1640" t="str">
            <v>Executive</v>
          </cell>
        </row>
        <row r="1641">
          <cell r="B1641">
            <v>342511</v>
          </cell>
          <cell r="C1641" t="str">
            <v>FR2305</v>
          </cell>
          <cell r="D1641" t="str">
            <v>Moniruzzaman</v>
          </cell>
          <cell r="E1641">
            <v>342511</v>
          </cell>
          <cell r="F1641" t="str">
            <v>Chilling Center</v>
          </cell>
          <cell r="G1641" t="str">
            <v>Area Manager</v>
          </cell>
        </row>
        <row r="1642">
          <cell r="B1642">
            <v>365346</v>
          </cell>
          <cell r="C1642" t="str">
            <v>FR2360</v>
          </cell>
          <cell r="D1642" t="str">
            <v>Md. Emran Hossain</v>
          </cell>
          <cell r="E1642">
            <v>365346</v>
          </cell>
          <cell r="F1642" t="str">
            <v>Dairy QC</v>
          </cell>
          <cell r="G1642" t="str">
            <v>Senior Executive</v>
          </cell>
        </row>
        <row r="1643">
          <cell r="B1643">
            <v>365462</v>
          </cell>
          <cell r="C1643" t="str">
            <v>FR2376</v>
          </cell>
          <cell r="D1643" t="str">
            <v>Md. Ashraful Islam</v>
          </cell>
          <cell r="E1643">
            <v>365462</v>
          </cell>
          <cell r="F1643" t="str">
            <v>Dairy QC</v>
          </cell>
          <cell r="G1643" t="str">
            <v>Executive</v>
          </cell>
        </row>
        <row r="1644">
          <cell r="B1644">
            <v>369697</v>
          </cell>
          <cell r="C1644" t="str">
            <v>AFBL(Marketing)-3476</v>
          </cell>
          <cell r="D1644" t="str">
            <v>Raju Das</v>
          </cell>
          <cell r="E1644">
            <v>369697</v>
          </cell>
          <cell r="F1644" t="str">
            <v>Sales &amp; Marketing</v>
          </cell>
          <cell r="G1644" t="str">
            <v>Area Sales Manager</v>
          </cell>
        </row>
        <row r="1645">
          <cell r="B1645">
            <v>372253</v>
          </cell>
          <cell r="C1645" t="str">
            <v>FR2480</v>
          </cell>
          <cell r="D1645" t="str">
            <v>Abdul Halim</v>
          </cell>
          <cell r="E1645">
            <v>372253</v>
          </cell>
          <cell r="F1645" t="str">
            <v>Dairy</v>
          </cell>
          <cell r="G1645" t="str">
            <v>Deputy Manager</v>
          </cell>
        </row>
        <row r="1646">
          <cell r="B1646">
            <v>382753</v>
          </cell>
          <cell r="C1646" t="str">
            <v>FR2561</v>
          </cell>
          <cell r="D1646" t="str">
            <v>Md. Shahikul Islam</v>
          </cell>
          <cell r="E1646">
            <v>382753</v>
          </cell>
          <cell r="F1646" t="str">
            <v>Dairy QC</v>
          </cell>
          <cell r="G1646" t="str">
            <v>Executive</v>
          </cell>
        </row>
        <row r="1647">
          <cell r="B1647">
            <v>398070</v>
          </cell>
          <cell r="C1647" t="str">
            <v>FR2650</v>
          </cell>
          <cell r="D1647" t="str">
            <v>Mehadi Hasan</v>
          </cell>
          <cell r="E1647">
            <v>398070</v>
          </cell>
          <cell r="F1647" t="str">
            <v>Dairy distribution</v>
          </cell>
          <cell r="G1647" t="str">
            <v>Junior Executive</v>
          </cell>
        </row>
        <row r="1648">
          <cell r="B1648">
            <v>433134</v>
          </cell>
          <cell r="C1648" t="str">
            <v>AFBL(Marketing)-4488</v>
          </cell>
          <cell r="D1648" t="str">
            <v>Md. Jamidul Islam</v>
          </cell>
          <cell r="E1648">
            <v>433134</v>
          </cell>
          <cell r="F1648" t="str">
            <v>Sales &amp; Marketing</v>
          </cell>
          <cell r="G1648" t="str">
            <v>Territory Sales Manager</v>
          </cell>
        </row>
        <row r="1649">
          <cell r="B1649">
            <v>433152</v>
          </cell>
          <cell r="C1649" t="str">
            <v>AFBL(Marketing)-4503</v>
          </cell>
          <cell r="D1649" t="str">
            <v>Md. Ariful Islam</v>
          </cell>
          <cell r="E1649">
            <v>433152</v>
          </cell>
          <cell r="F1649" t="str">
            <v>Sales &amp; Marketing</v>
          </cell>
          <cell r="G1649" t="str">
            <v>Area Sales Manager</v>
          </cell>
        </row>
        <row r="1650">
          <cell r="B1650">
            <v>434665</v>
          </cell>
          <cell r="C1650" t="str">
            <v>FR2830</v>
          </cell>
          <cell r="D1650" t="str">
            <v>Md. Abu Bakar Siddique</v>
          </cell>
          <cell r="E1650">
            <v>434665</v>
          </cell>
          <cell r="F1650" t="str">
            <v>Dairy</v>
          </cell>
          <cell r="G1650" t="str">
            <v>Senior Executive</v>
          </cell>
        </row>
        <row r="1651">
          <cell r="B1651">
            <v>445016</v>
          </cell>
          <cell r="C1651" t="str">
            <v>FR2861</v>
          </cell>
          <cell r="D1651" t="str">
            <v>Md.Mikdad Hosen</v>
          </cell>
          <cell r="E1651">
            <v>445016</v>
          </cell>
          <cell r="F1651" t="str">
            <v>Dairy</v>
          </cell>
          <cell r="G1651" t="str">
            <v>Executive</v>
          </cell>
        </row>
        <row r="1652">
          <cell r="B1652">
            <v>453221</v>
          </cell>
          <cell r="C1652" t="str">
            <v>AFBL(Marketing)-4657</v>
          </cell>
          <cell r="D1652" t="str">
            <v xml:space="preserve">Md. Saiful Islam </v>
          </cell>
          <cell r="E1652">
            <v>453221</v>
          </cell>
          <cell r="F1652" t="str">
            <v>Sales &amp; Marketing</v>
          </cell>
          <cell r="G1652" t="str">
            <v>Territory Sales Manager</v>
          </cell>
        </row>
        <row r="1653">
          <cell r="B1653">
            <v>457056</v>
          </cell>
          <cell r="C1653" t="str">
            <v>AFBL(CC)-243</v>
          </cell>
          <cell r="D1653" t="str">
            <v>Md. Shohedul Alam</v>
          </cell>
          <cell r="E1653">
            <v>457056</v>
          </cell>
          <cell r="F1653" t="str">
            <v>Dairy QC</v>
          </cell>
          <cell r="G1653" t="str">
            <v>Executive</v>
          </cell>
        </row>
        <row r="1654">
          <cell r="B1654">
            <v>476036</v>
          </cell>
          <cell r="C1654" t="str">
            <v>AFBL(CC)-283</v>
          </cell>
          <cell r="D1654" t="str">
            <v>Ajit Kumer Das</v>
          </cell>
          <cell r="E1654">
            <v>476036</v>
          </cell>
          <cell r="F1654" t="str">
            <v>Chilling Center</v>
          </cell>
          <cell r="G1654" t="str">
            <v>Area Manager</v>
          </cell>
        </row>
        <row r="1655">
          <cell r="B1655">
            <v>480082</v>
          </cell>
          <cell r="C1655" t="str">
            <v>R2479</v>
          </cell>
          <cell r="D1655" t="str">
            <v>Md. Taimur Reja</v>
          </cell>
          <cell r="E1655">
            <v>480082</v>
          </cell>
          <cell r="F1655" t="str">
            <v>Sales &amp; Marketing</v>
          </cell>
          <cell r="G1655" t="str">
            <v>National Sales Manager</v>
          </cell>
        </row>
        <row r="1656">
          <cell r="B1656">
            <v>492070</v>
          </cell>
          <cell r="C1656" t="str">
            <v>FR3239</v>
          </cell>
          <cell r="D1656" t="str">
            <v>Md. Abdul Jalil</v>
          </cell>
          <cell r="E1656">
            <v>492070</v>
          </cell>
          <cell r="F1656" t="str">
            <v>Dairy QC</v>
          </cell>
          <cell r="G1656" t="str">
            <v>Junior Executive</v>
          </cell>
        </row>
        <row r="1657">
          <cell r="B1657">
            <v>495115</v>
          </cell>
          <cell r="C1657" t="str">
            <v>FR3247</v>
          </cell>
          <cell r="D1657" t="str">
            <v>Md. Rashedul Islam</v>
          </cell>
          <cell r="E1657">
            <v>495115</v>
          </cell>
          <cell r="F1657" t="str">
            <v>Dairy</v>
          </cell>
          <cell r="G1657" t="str">
            <v>Junior Executive</v>
          </cell>
        </row>
        <row r="1658">
          <cell r="B1658">
            <v>497516</v>
          </cell>
          <cell r="C1658" t="str">
            <v>FR3276</v>
          </cell>
          <cell r="D1658" t="str">
            <v>Md. Robiul Alam</v>
          </cell>
          <cell r="E1658">
            <v>497516</v>
          </cell>
          <cell r="F1658" t="str">
            <v>Dairy</v>
          </cell>
          <cell r="G1658" t="str">
            <v>Executive</v>
          </cell>
        </row>
        <row r="1659">
          <cell r="B1659">
            <v>498662</v>
          </cell>
          <cell r="C1659" t="str">
            <v>FR3287</v>
          </cell>
          <cell r="D1659" t="str">
            <v>Md. Shakibul Hasan Bhuiyan</v>
          </cell>
          <cell r="E1659">
            <v>498662</v>
          </cell>
          <cell r="F1659" t="str">
            <v>Dairy</v>
          </cell>
          <cell r="G1659" t="str">
            <v>Junior Executive</v>
          </cell>
        </row>
        <row r="1660">
          <cell r="B1660">
            <v>502213</v>
          </cell>
          <cell r="C1660" t="str">
            <v>AFBL(Marketing)-5551</v>
          </cell>
          <cell r="D1660" t="str">
            <v>Md. Jamil Hossain</v>
          </cell>
          <cell r="E1660">
            <v>502213</v>
          </cell>
          <cell r="F1660" t="str">
            <v>Sales &amp; Marketing</v>
          </cell>
          <cell r="G1660" t="str">
            <v>Area Sales Manager</v>
          </cell>
        </row>
        <row r="1661">
          <cell r="B1661">
            <v>504533</v>
          </cell>
          <cell r="C1661" t="str">
            <v>FR3379</v>
          </cell>
          <cell r="D1661" t="str">
            <v>Md. Menhajul Islam</v>
          </cell>
          <cell r="E1661">
            <v>504533</v>
          </cell>
          <cell r="F1661" t="str">
            <v>Dairy</v>
          </cell>
          <cell r="G1661" t="str">
            <v>Assistant Engineer</v>
          </cell>
        </row>
        <row r="1662">
          <cell r="B1662">
            <v>508801</v>
          </cell>
          <cell r="C1662" t="str">
            <v>AFBL(Marketing)-5641</v>
          </cell>
          <cell r="D1662" t="str">
            <v>Abu Hanifa</v>
          </cell>
          <cell r="E1662">
            <v>508801</v>
          </cell>
          <cell r="F1662" t="str">
            <v>Sales &amp; Marketing</v>
          </cell>
          <cell r="G1662" t="str">
            <v>Territory Sales Manager</v>
          </cell>
        </row>
        <row r="1663">
          <cell r="B1663">
            <v>520347</v>
          </cell>
          <cell r="C1663" t="str">
            <v>AFBL(Marketing)-6093</v>
          </cell>
          <cell r="D1663" t="str">
            <v>Md. Tarek Aziz</v>
          </cell>
          <cell r="E1663">
            <v>520347</v>
          </cell>
          <cell r="F1663" t="str">
            <v>Sales &amp; Marketing</v>
          </cell>
          <cell r="G1663" t="str">
            <v>Territory Sales Manager</v>
          </cell>
        </row>
        <row r="1664">
          <cell r="B1664">
            <v>522501</v>
          </cell>
          <cell r="C1664" t="str">
            <v>AFBL(Marketing)-6189</v>
          </cell>
          <cell r="D1664" t="str">
            <v>Md. Hossan Ali</v>
          </cell>
          <cell r="E1664">
            <v>522501</v>
          </cell>
          <cell r="F1664" t="str">
            <v>Sales &amp; Marketing</v>
          </cell>
          <cell r="G1664" t="str">
            <v>Territory Sales Manager</v>
          </cell>
        </row>
        <row r="1665">
          <cell r="B1665">
            <v>523951</v>
          </cell>
          <cell r="C1665" t="str">
            <v>AFBL(Marketing)-6449</v>
          </cell>
          <cell r="D1665" t="str">
            <v>Md. Ashraful Islam</v>
          </cell>
          <cell r="E1665">
            <v>523951</v>
          </cell>
          <cell r="F1665" t="str">
            <v>Sales &amp; Marketing</v>
          </cell>
          <cell r="G1665" t="str">
            <v>Territory Sales Manager</v>
          </cell>
        </row>
        <row r="1666">
          <cell r="B1666">
            <v>524347</v>
          </cell>
          <cell r="C1666" t="str">
            <v>AFBL(Marketing)-6632</v>
          </cell>
          <cell r="D1666" t="str">
            <v>Md. Nurchand Hossain</v>
          </cell>
          <cell r="E1666">
            <v>524347</v>
          </cell>
          <cell r="F1666" t="str">
            <v>Sales &amp; Marketing</v>
          </cell>
          <cell r="G1666" t="str">
            <v>Territory Sales Manager</v>
          </cell>
        </row>
        <row r="1667">
          <cell r="B1667">
            <v>524355</v>
          </cell>
          <cell r="C1667" t="str">
            <v>AFBL(Marketing)-6640</v>
          </cell>
          <cell r="D1667" t="str">
            <v>Md. Alnur Tarak</v>
          </cell>
          <cell r="E1667">
            <v>524355</v>
          </cell>
          <cell r="F1667" t="str">
            <v>Sales &amp; Marketing</v>
          </cell>
          <cell r="G1667" t="str">
            <v>Territory Sales Manager</v>
          </cell>
        </row>
        <row r="1668">
          <cell r="B1668">
            <v>525231</v>
          </cell>
          <cell r="C1668" t="str">
            <v>ADL-02</v>
          </cell>
          <cell r="D1668" t="str">
            <v>Md. Rasaed Alam</v>
          </cell>
          <cell r="E1668">
            <v>525231</v>
          </cell>
          <cell r="F1668" t="str">
            <v>Sales</v>
          </cell>
          <cell r="G1668" t="str">
            <v>Area Sales Manager</v>
          </cell>
        </row>
        <row r="1669">
          <cell r="B1669">
            <v>525307</v>
          </cell>
          <cell r="C1669" t="str">
            <v>R3025</v>
          </cell>
          <cell r="D1669" t="str">
            <v>Nour-E-Alom</v>
          </cell>
          <cell r="E1669">
            <v>525307</v>
          </cell>
          <cell r="F1669" t="str">
            <v>Chilling Center</v>
          </cell>
          <cell r="G1669" t="str">
            <v>Assistant General Manager</v>
          </cell>
        </row>
        <row r="1670">
          <cell r="B1670">
            <v>525544</v>
          </cell>
          <cell r="C1670" t="str">
            <v>AVL-R40</v>
          </cell>
          <cell r="D1670" t="str">
            <v>Md. Robiul Islam</v>
          </cell>
          <cell r="E1670">
            <v>525544</v>
          </cell>
          <cell r="F1670" t="str">
            <v>Legal Affairs</v>
          </cell>
          <cell r="G1670" t="str">
            <v>Senior Executive</v>
          </cell>
        </row>
        <row r="1671">
          <cell r="B1671">
            <v>529119</v>
          </cell>
          <cell r="C1671" t="str">
            <v>FR4093</v>
          </cell>
          <cell r="D1671" t="str">
            <v xml:space="preserve">Sadman Sakib </v>
          </cell>
          <cell r="E1671">
            <v>529119</v>
          </cell>
          <cell r="F1671" t="str">
            <v>Dairy QC</v>
          </cell>
          <cell r="G1671" t="str">
            <v>Junior Executive</v>
          </cell>
        </row>
        <row r="1672">
          <cell r="B1672">
            <v>529230</v>
          </cell>
          <cell r="C1672" t="str">
            <v>ADL-59</v>
          </cell>
          <cell r="D1672" t="str">
            <v>Md. Shahriar Reza</v>
          </cell>
          <cell r="E1672">
            <v>529230</v>
          </cell>
          <cell r="F1672" t="str">
            <v>Brand</v>
          </cell>
          <cell r="G1672" t="str">
            <v>Manager</v>
          </cell>
        </row>
        <row r="1673">
          <cell r="B1673">
            <v>529349</v>
          </cell>
          <cell r="C1673" t="str">
            <v>AVL-R64</v>
          </cell>
          <cell r="D1673" t="str">
            <v>M M Mashrur Amin</v>
          </cell>
          <cell r="E1673">
            <v>529349</v>
          </cell>
          <cell r="F1673" t="str">
            <v>Marketing</v>
          </cell>
          <cell r="G1673" t="str">
            <v>Assistant Manager</v>
          </cell>
        </row>
        <row r="1674">
          <cell r="B1674">
            <v>529355</v>
          </cell>
          <cell r="C1674" t="str">
            <v>AVL-R70</v>
          </cell>
          <cell r="D1674" t="str">
            <v>Md. Mahbubur Rahman</v>
          </cell>
          <cell r="E1674">
            <v>529355</v>
          </cell>
          <cell r="F1674" t="str">
            <v>Supply Chain</v>
          </cell>
          <cell r="G1674" t="str">
            <v>Deputy Manager</v>
          </cell>
        </row>
        <row r="1675">
          <cell r="B1675">
            <v>529702</v>
          </cell>
          <cell r="C1675" t="str">
            <v>AVL-79</v>
          </cell>
          <cell r="D1675" t="str">
            <v>Mohammad Yeasin Arafat</v>
          </cell>
          <cell r="E1675">
            <v>529702</v>
          </cell>
          <cell r="F1675" t="str">
            <v>Internal Audit &amp; Compliance</v>
          </cell>
          <cell r="G1675" t="str">
            <v>Executive</v>
          </cell>
        </row>
        <row r="1676">
          <cell r="B1676">
            <v>529727</v>
          </cell>
          <cell r="C1676" t="str">
            <v>AFBL(CC)-357</v>
          </cell>
          <cell r="D1676" t="str">
            <v>Md. Rabiul Islam</v>
          </cell>
          <cell r="E1676">
            <v>529727</v>
          </cell>
          <cell r="F1676" t="str">
            <v>Chilling Center</v>
          </cell>
          <cell r="G1676" t="str">
            <v>Manager</v>
          </cell>
        </row>
        <row r="1677">
          <cell r="B1677">
            <v>529736</v>
          </cell>
          <cell r="C1677" t="str">
            <v>FR4169</v>
          </cell>
          <cell r="D1677" t="str">
            <v>Md. Shahinur Rahman</v>
          </cell>
          <cell r="E1677">
            <v>529736</v>
          </cell>
          <cell r="F1677" t="str">
            <v>Dairy</v>
          </cell>
          <cell r="G1677" t="str">
            <v>Executive</v>
          </cell>
        </row>
        <row r="1678">
          <cell r="B1678">
            <v>529737</v>
          </cell>
          <cell r="C1678" t="str">
            <v>FR4170</v>
          </cell>
          <cell r="D1678" t="str">
            <v>Md. Arman Hossain</v>
          </cell>
          <cell r="E1678">
            <v>529737</v>
          </cell>
          <cell r="F1678" t="str">
            <v>Dairy</v>
          </cell>
          <cell r="G1678" t="str">
            <v>Executive</v>
          </cell>
        </row>
        <row r="1679">
          <cell r="B1679">
            <v>529991</v>
          </cell>
          <cell r="C1679" t="str">
            <v>FR4232</v>
          </cell>
          <cell r="D1679" t="str">
            <v>Iqbal Hossen</v>
          </cell>
          <cell r="E1679">
            <v>529991</v>
          </cell>
          <cell r="F1679" t="str">
            <v>Dairy</v>
          </cell>
          <cell r="G1679" t="str">
            <v>Senior Manager</v>
          </cell>
        </row>
        <row r="1680">
          <cell r="B1680">
            <v>530474</v>
          </cell>
          <cell r="C1680" t="str">
            <v>ADL-74</v>
          </cell>
          <cell r="D1680" t="str">
            <v>Tawhidul Islam</v>
          </cell>
          <cell r="E1680">
            <v>530474</v>
          </cell>
          <cell r="F1680" t="str">
            <v>Sales Admin</v>
          </cell>
          <cell r="G1680" t="str">
            <v>Assistant Manager</v>
          </cell>
        </row>
        <row r="1681">
          <cell r="B1681">
            <v>530667</v>
          </cell>
          <cell r="C1681" t="str">
            <v>AVL-95</v>
          </cell>
          <cell r="D1681" t="str">
            <v>Najmunnaher Suite</v>
          </cell>
          <cell r="E1681">
            <v>530667</v>
          </cell>
          <cell r="F1681" t="str">
            <v>Accounts And Finance</v>
          </cell>
          <cell r="G1681" t="str">
            <v>Senior Executive</v>
          </cell>
        </row>
        <row r="1682">
          <cell r="B1682">
            <v>531960</v>
          </cell>
          <cell r="C1682" t="str">
            <v>ADL-224</v>
          </cell>
          <cell r="D1682" t="str">
            <v>Dulu Molla</v>
          </cell>
          <cell r="E1682">
            <v>531960</v>
          </cell>
          <cell r="F1682" t="str">
            <v>Sales</v>
          </cell>
          <cell r="G1682" t="str">
            <v>Area Sales Manager</v>
          </cell>
        </row>
        <row r="1683">
          <cell r="B1683">
            <v>533203</v>
          </cell>
          <cell r="C1683" t="str">
            <v>ADL-251</v>
          </cell>
          <cell r="D1683" t="str">
            <v>Kazi Md. Sahjamal</v>
          </cell>
          <cell r="E1683">
            <v>533203</v>
          </cell>
          <cell r="F1683" t="str">
            <v>Sales</v>
          </cell>
          <cell r="G1683" t="str">
            <v>Territory Sales Manager</v>
          </cell>
        </row>
        <row r="1684">
          <cell r="B1684">
            <v>533207</v>
          </cell>
          <cell r="C1684" t="str">
            <v>ADL-255</v>
          </cell>
          <cell r="D1684" t="str">
            <v>Mamun Perves</v>
          </cell>
          <cell r="E1684">
            <v>533207</v>
          </cell>
          <cell r="F1684" t="str">
            <v>Sales</v>
          </cell>
          <cell r="G1684" t="str">
            <v>Area Sales Manager</v>
          </cell>
        </row>
        <row r="1685">
          <cell r="B1685">
            <v>533339</v>
          </cell>
          <cell r="C1685" t="str">
            <v>ADL-269</v>
          </cell>
          <cell r="D1685" t="str">
            <v>Rashed Alam</v>
          </cell>
          <cell r="E1685">
            <v>533339</v>
          </cell>
          <cell r="F1685" t="str">
            <v>Sales</v>
          </cell>
          <cell r="G1685" t="str">
            <v>Area Sales Manager</v>
          </cell>
        </row>
        <row r="1686">
          <cell r="B1686">
            <v>533345</v>
          </cell>
          <cell r="C1686" t="str">
            <v>ADL-275</v>
          </cell>
          <cell r="D1686" t="str">
            <v>Md. Azizur Rahman</v>
          </cell>
          <cell r="E1686">
            <v>533345</v>
          </cell>
          <cell r="F1686" t="str">
            <v>Sales &amp; Marketing</v>
          </cell>
          <cell r="G1686" t="str">
            <v>Territory Sales Manager</v>
          </cell>
        </row>
        <row r="1687">
          <cell r="B1687">
            <v>533423</v>
          </cell>
          <cell r="C1687" t="str">
            <v>AFBL(Marketing)-8627</v>
          </cell>
          <cell r="D1687" t="str">
            <v>Md. Rakib Hossain</v>
          </cell>
          <cell r="E1687">
            <v>533423</v>
          </cell>
          <cell r="F1687" t="str">
            <v>Sales &amp; Marketing</v>
          </cell>
          <cell r="G1687" t="str">
            <v>Territory Sales Manager</v>
          </cell>
        </row>
        <row r="1688">
          <cell r="B1688">
            <v>533454</v>
          </cell>
          <cell r="C1688" t="str">
            <v>ADL-285</v>
          </cell>
          <cell r="D1688" t="str">
            <v>Md. Mukul Islam</v>
          </cell>
          <cell r="E1688">
            <v>533454</v>
          </cell>
          <cell r="F1688" t="str">
            <v>Sales &amp; Marketing</v>
          </cell>
          <cell r="G1688" t="str">
            <v>Territory Sales Manager</v>
          </cell>
        </row>
        <row r="1689">
          <cell r="B1689">
            <v>533556</v>
          </cell>
          <cell r="C1689" t="str">
            <v>ADL-293</v>
          </cell>
          <cell r="D1689" t="str">
            <v>Atiqullah Noman Akhand</v>
          </cell>
          <cell r="E1689">
            <v>533556</v>
          </cell>
          <cell r="F1689" t="str">
            <v>Sales</v>
          </cell>
          <cell r="G1689" t="str">
            <v>Regional Sales Incharge</v>
          </cell>
        </row>
        <row r="1690">
          <cell r="B1690">
            <v>533657</v>
          </cell>
          <cell r="C1690" t="str">
            <v>ADL-308</v>
          </cell>
          <cell r="D1690" t="str">
            <v>Abdur Rahman Uzzal</v>
          </cell>
          <cell r="E1690">
            <v>533657</v>
          </cell>
          <cell r="F1690" t="str">
            <v>Sales</v>
          </cell>
          <cell r="G1690" t="str">
            <v>Area Sales Manager</v>
          </cell>
        </row>
        <row r="1691">
          <cell r="B1691">
            <v>533797</v>
          </cell>
          <cell r="C1691" t="str">
            <v>AFBL(CC)-396</v>
          </cell>
          <cell r="D1691" t="str">
            <v>Md. Abdul Alim</v>
          </cell>
          <cell r="E1691">
            <v>533797</v>
          </cell>
          <cell r="F1691" t="str">
            <v>Maintenance</v>
          </cell>
          <cell r="G1691" t="str">
            <v>Engineer</v>
          </cell>
        </row>
        <row r="1692">
          <cell r="B1692">
            <v>535976</v>
          </cell>
          <cell r="C1692" t="str">
            <v>AFBL(CC)-405</v>
          </cell>
          <cell r="D1692" t="str">
            <v>Md. Eunus Ali</v>
          </cell>
          <cell r="E1692">
            <v>535976</v>
          </cell>
          <cell r="F1692" t="str">
            <v>Quality Control</v>
          </cell>
          <cell r="G1692" t="str">
            <v>Executive</v>
          </cell>
        </row>
        <row r="1693">
          <cell r="B1693">
            <v>536591</v>
          </cell>
          <cell r="C1693" t="str">
            <v>ADL-462</v>
          </cell>
          <cell r="D1693" t="str">
            <v>Salim Reza</v>
          </cell>
          <cell r="E1693">
            <v>536591</v>
          </cell>
          <cell r="F1693" t="str">
            <v>Sales</v>
          </cell>
          <cell r="G1693" t="str">
            <v>Area Sales Manager</v>
          </cell>
        </row>
        <row r="1694">
          <cell r="B1694">
            <v>537990</v>
          </cell>
          <cell r="C1694" t="str">
            <v>ADL-548</v>
          </cell>
          <cell r="D1694" t="str">
            <v>Mohammad Mostafa Kamal</v>
          </cell>
          <cell r="E1694">
            <v>537990</v>
          </cell>
          <cell r="F1694" t="str">
            <v>Sales</v>
          </cell>
          <cell r="G1694" t="str">
            <v>Area Sales Manager</v>
          </cell>
        </row>
        <row r="1695">
          <cell r="B1695">
            <v>538296</v>
          </cell>
          <cell r="C1695" t="str">
            <v>FR5060</v>
          </cell>
          <cell r="D1695" t="str">
            <v>Md. Naim Hossen</v>
          </cell>
          <cell r="E1695">
            <v>538296</v>
          </cell>
          <cell r="F1695" t="str">
            <v>Dairy</v>
          </cell>
          <cell r="G1695" t="str">
            <v>Junior Executive</v>
          </cell>
        </row>
        <row r="1696">
          <cell r="B1696">
            <v>539753</v>
          </cell>
          <cell r="C1696" t="str">
            <v>FR5167</v>
          </cell>
          <cell r="D1696" t="str">
            <v>Md. Moshiur Rahman</v>
          </cell>
          <cell r="E1696">
            <v>539753</v>
          </cell>
          <cell r="F1696" t="str">
            <v>Dairy</v>
          </cell>
          <cell r="G1696" t="str">
            <v>Junior Executive</v>
          </cell>
        </row>
        <row r="1697">
          <cell r="B1697">
            <v>539825</v>
          </cell>
          <cell r="C1697" t="str">
            <v>ADL-717</v>
          </cell>
          <cell r="D1697" t="str">
            <v>Mohammad Reja Alam</v>
          </cell>
          <cell r="E1697">
            <v>539825</v>
          </cell>
          <cell r="F1697" t="str">
            <v>Sales &amp; Marketing</v>
          </cell>
          <cell r="G1697" t="str">
            <v>Area Sales Manager</v>
          </cell>
        </row>
        <row r="1698">
          <cell r="B1698">
            <v>539863</v>
          </cell>
          <cell r="C1698" t="str">
            <v>FR5170</v>
          </cell>
          <cell r="D1698" t="str">
            <v>Md. Abdul Latif</v>
          </cell>
          <cell r="E1698">
            <v>539863</v>
          </cell>
          <cell r="F1698" t="str">
            <v>Dairy</v>
          </cell>
          <cell r="G1698" t="str">
            <v>Junior Executive</v>
          </cell>
        </row>
        <row r="1699">
          <cell r="B1699">
            <v>540303</v>
          </cell>
          <cell r="C1699" t="str">
            <v>ADL-763</v>
          </cell>
          <cell r="D1699" t="str">
            <v>Sahmiran</v>
          </cell>
          <cell r="E1699">
            <v>540303</v>
          </cell>
          <cell r="F1699" t="str">
            <v>Sales</v>
          </cell>
          <cell r="G1699" t="str">
            <v>Area Sales Manager</v>
          </cell>
        </row>
        <row r="1700">
          <cell r="B1700">
            <v>540327</v>
          </cell>
          <cell r="C1700" t="str">
            <v>ADL-764</v>
          </cell>
          <cell r="D1700" t="str">
            <v xml:space="preserve">Mohammad Humayun Morshed </v>
          </cell>
          <cell r="E1700">
            <v>540327</v>
          </cell>
          <cell r="F1700" t="str">
            <v>Sales</v>
          </cell>
          <cell r="G1700" t="str">
            <v>Regional Sales Manager</v>
          </cell>
        </row>
        <row r="1701">
          <cell r="B1701">
            <v>540977</v>
          </cell>
          <cell r="C1701" t="str">
            <v>ADL-816</v>
          </cell>
          <cell r="D1701" t="str">
            <v>Sugit Kumer Biswas</v>
          </cell>
          <cell r="E1701">
            <v>540977</v>
          </cell>
          <cell r="F1701" t="str">
            <v>Sales</v>
          </cell>
          <cell r="G1701" t="str">
            <v>Regional Sales Manager</v>
          </cell>
        </row>
        <row r="1702">
          <cell r="B1702">
            <v>541262</v>
          </cell>
          <cell r="C1702" t="str">
            <v>ADL-849</v>
          </cell>
          <cell r="D1702" t="str">
            <v>Md. Juel Ahmed</v>
          </cell>
          <cell r="E1702">
            <v>541262</v>
          </cell>
          <cell r="F1702" t="str">
            <v>Sales</v>
          </cell>
          <cell r="G1702" t="str">
            <v>Area Sales Manager</v>
          </cell>
        </row>
        <row r="1703">
          <cell r="B1703">
            <v>541713</v>
          </cell>
          <cell r="C1703" t="str">
            <v>ADL-862</v>
          </cell>
          <cell r="D1703" t="str">
            <v>Iftekharul Alam</v>
          </cell>
          <cell r="E1703">
            <v>541713</v>
          </cell>
          <cell r="F1703" t="str">
            <v>Finance &amp; Accounts</v>
          </cell>
          <cell r="G1703" t="str">
            <v>Senior Executive</v>
          </cell>
        </row>
        <row r="1704">
          <cell r="B1704">
            <v>541714</v>
          </cell>
          <cell r="C1704" t="str">
            <v>ADL-863</v>
          </cell>
          <cell r="D1704" t="str">
            <v>Md. Kaiumuzzaman</v>
          </cell>
          <cell r="E1704">
            <v>541714</v>
          </cell>
          <cell r="F1704" t="str">
            <v>Finance &amp; Accounts</v>
          </cell>
          <cell r="G1704" t="str">
            <v>Senior Executive</v>
          </cell>
        </row>
        <row r="1705">
          <cell r="B1705">
            <v>541873</v>
          </cell>
          <cell r="C1705" t="str">
            <v>FR5344</v>
          </cell>
          <cell r="D1705" t="str">
            <v>Md.Yeasin Arafat</v>
          </cell>
          <cell r="E1705">
            <v>541873</v>
          </cell>
          <cell r="F1705" t="str">
            <v>Dairy QC</v>
          </cell>
          <cell r="G1705" t="str">
            <v>Manager</v>
          </cell>
        </row>
        <row r="1706">
          <cell r="B1706">
            <v>541948</v>
          </cell>
          <cell r="C1706" t="str">
            <v>FR5348</v>
          </cell>
          <cell r="D1706" t="str">
            <v>Sheikh Arifuzzaman</v>
          </cell>
          <cell r="E1706">
            <v>541948</v>
          </cell>
          <cell r="F1706" t="str">
            <v>Dairy QC</v>
          </cell>
          <cell r="G1706" t="str">
            <v>Junior Executive</v>
          </cell>
        </row>
        <row r="1707">
          <cell r="B1707">
            <v>542481</v>
          </cell>
          <cell r="C1707" t="str">
            <v>ADL-904</v>
          </cell>
          <cell r="D1707" t="str">
            <v>Md. Shariful Islam Mollah</v>
          </cell>
          <cell r="E1707">
            <v>542481</v>
          </cell>
          <cell r="F1707" t="str">
            <v>HR</v>
          </cell>
          <cell r="G1707" t="str">
            <v>Executive</v>
          </cell>
        </row>
        <row r="1708">
          <cell r="B1708">
            <v>542627</v>
          </cell>
          <cell r="C1708" t="str">
            <v>ADL-906</v>
          </cell>
          <cell r="D1708" t="str">
            <v>Md. Noman</v>
          </cell>
          <cell r="E1708">
            <v>542627</v>
          </cell>
          <cell r="F1708" t="str">
            <v>Sales</v>
          </cell>
          <cell r="G1708" t="str">
            <v>Territory Sales Manager</v>
          </cell>
        </row>
        <row r="1709">
          <cell r="B1709">
            <v>542640</v>
          </cell>
          <cell r="C1709" t="str">
            <v>ADL-909</v>
          </cell>
          <cell r="D1709" t="str">
            <v>Md. Shihabur Rahman</v>
          </cell>
          <cell r="E1709">
            <v>542640</v>
          </cell>
          <cell r="F1709" t="str">
            <v>Sales</v>
          </cell>
          <cell r="G1709" t="str">
            <v>Territory Sales Manager</v>
          </cell>
        </row>
        <row r="1710">
          <cell r="B1710">
            <v>542719</v>
          </cell>
          <cell r="C1710" t="str">
            <v>ADL-907</v>
          </cell>
          <cell r="D1710" t="str">
            <v>Md. Jewel Rana</v>
          </cell>
          <cell r="E1710">
            <v>542719</v>
          </cell>
          <cell r="F1710" t="str">
            <v>Sales</v>
          </cell>
          <cell r="G1710" t="str">
            <v>Territory Sales Manager</v>
          </cell>
        </row>
        <row r="1711">
          <cell r="B1711">
            <v>542729</v>
          </cell>
          <cell r="C1711" t="str">
            <v>ADL-914</v>
          </cell>
          <cell r="D1711" t="str">
            <v>Md. Golam Rabbani</v>
          </cell>
          <cell r="E1711">
            <v>542729</v>
          </cell>
          <cell r="F1711" t="str">
            <v>Finance &amp; Accounts</v>
          </cell>
          <cell r="G1711" t="str">
            <v>Junior Executive</v>
          </cell>
        </row>
        <row r="1712">
          <cell r="B1712">
            <v>543008</v>
          </cell>
          <cell r="C1712" t="str">
            <v>ADL-915</v>
          </cell>
          <cell r="D1712" t="str">
            <v>Md. Humayun Kabir Bablu</v>
          </cell>
          <cell r="E1712">
            <v>543008</v>
          </cell>
          <cell r="F1712" t="str">
            <v>Sales</v>
          </cell>
          <cell r="G1712" t="str">
            <v>Territory Sales Manager</v>
          </cell>
        </row>
        <row r="1713">
          <cell r="B1713">
            <v>543423</v>
          </cell>
          <cell r="C1713" t="str">
            <v>AFBL(CC)-530</v>
          </cell>
          <cell r="D1713" t="str">
            <v>James Jony Kisku</v>
          </cell>
          <cell r="E1713">
            <v>543423</v>
          </cell>
          <cell r="F1713" t="str">
            <v>Chilling Center</v>
          </cell>
          <cell r="G1713" t="str">
            <v>Area Manager</v>
          </cell>
        </row>
        <row r="1714">
          <cell r="B1714">
            <v>543641</v>
          </cell>
          <cell r="C1714" t="str">
            <v>ADL-962</v>
          </cell>
          <cell r="D1714" t="str">
            <v>Md. Kawser Bhuyian</v>
          </cell>
          <cell r="E1714">
            <v>543641</v>
          </cell>
          <cell r="F1714" t="str">
            <v>Sales</v>
          </cell>
          <cell r="G1714" t="str">
            <v>Territory Sales Manager</v>
          </cell>
        </row>
        <row r="1715">
          <cell r="B1715">
            <v>543653</v>
          </cell>
          <cell r="C1715" t="str">
            <v>ADL-964</v>
          </cell>
          <cell r="D1715" t="str">
            <v>Mithun Shil</v>
          </cell>
          <cell r="E1715">
            <v>543653</v>
          </cell>
          <cell r="F1715" t="str">
            <v>Sales</v>
          </cell>
          <cell r="G1715" t="str">
            <v>Territory Sales Manager</v>
          </cell>
        </row>
        <row r="1716">
          <cell r="B1716">
            <v>543656</v>
          </cell>
          <cell r="C1716" t="str">
            <v>ADL-966</v>
          </cell>
          <cell r="D1716" t="str">
            <v>Md. Samsul Alam Sabbir</v>
          </cell>
          <cell r="E1716">
            <v>543656</v>
          </cell>
          <cell r="F1716" t="str">
            <v>Sales</v>
          </cell>
          <cell r="G1716" t="str">
            <v>Territory Sales Manager</v>
          </cell>
        </row>
        <row r="1717">
          <cell r="B1717">
            <v>543658</v>
          </cell>
          <cell r="C1717" t="str">
            <v>ADL-968</v>
          </cell>
          <cell r="D1717" t="str">
            <v>Shuvo Sadhu</v>
          </cell>
          <cell r="E1717">
            <v>543658</v>
          </cell>
          <cell r="F1717" t="str">
            <v>Sales</v>
          </cell>
          <cell r="G1717" t="str">
            <v>Territory Sales Manager</v>
          </cell>
        </row>
        <row r="1718">
          <cell r="B1718">
            <v>543659</v>
          </cell>
          <cell r="C1718" t="str">
            <v>ADL-969</v>
          </cell>
          <cell r="D1718" t="str">
            <v>Md. Nur Hossen</v>
          </cell>
          <cell r="E1718">
            <v>543659</v>
          </cell>
          <cell r="F1718" t="str">
            <v>Sales</v>
          </cell>
          <cell r="G1718" t="str">
            <v>Territory Sales Manager</v>
          </cell>
        </row>
        <row r="1719">
          <cell r="B1719">
            <v>543954</v>
          </cell>
          <cell r="C1719" t="str">
            <v>ADL(CC)-548</v>
          </cell>
          <cell r="D1719" t="str">
            <v>Md. Nur Sahin</v>
          </cell>
          <cell r="E1719">
            <v>543954</v>
          </cell>
          <cell r="F1719" t="str">
            <v>HR &amp; Admin</v>
          </cell>
          <cell r="G1719" t="str">
            <v>Executive</v>
          </cell>
        </row>
        <row r="1720">
          <cell r="B1720">
            <v>544026</v>
          </cell>
          <cell r="C1720" t="str">
            <v>ADL-997</v>
          </cell>
          <cell r="D1720" t="str">
            <v>Osman Gani</v>
          </cell>
          <cell r="E1720">
            <v>544026</v>
          </cell>
          <cell r="F1720" t="str">
            <v>Sales</v>
          </cell>
          <cell r="G1720" t="str">
            <v>Territory Sales Manager</v>
          </cell>
        </row>
        <row r="1721">
          <cell r="B1721">
            <v>544027</v>
          </cell>
          <cell r="C1721" t="str">
            <v>ADL-998</v>
          </cell>
          <cell r="D1721" t="str">
            <v>Md. Rakib Hossain</v>
          </cell>
          <cell r="E1721">
            <v>544027</v>
          </cell>
          <cell r="F1721" t="str">
            <v>Sales</v>
          </cell>
          <cell r="G1721" t="str">
            <v>Territory Sales Manager</v>
          </cell>
        </row>
        <row r="1722">
          <cell r="B1722">
            <v>544028</v>
          </cell>
          <cell r="C1722" t="str">
            <v>ADL-999</v>
          </cell>
          <cell r="D1722" t="str">
            <v>Abdul Amin Minhaz</v>
          </cell>
          <cell r="E1722">
            <v>544028</v>
          </cell>
          <cell r="F1722" t="str">
            <v>Sales</v>
          </cell>
          <cell r="G1722" t="str">
            <v>Territory Sales Manager</v>
          </cell>
        </row>
        <row r="1723">
          <cell r="B1723">
            <v>544029</v>
          </cell>
          <cell r="C1723" t="str">
            <v>ADL-1000</v>
          </cell>
          <cell r="D1723" t="str">
            <v>Md. Nowsad Ahmmad</v>
          </cell>
          <cell r="E1723">
            <v>544029</v>
          </cell>
          <cell r="F1723" t="str">
            <v>Sales</v>
          </cell>
          <cell r="G1723" t="str">
            <v>Territory Sales Manager</v>
          </cell>
        </row>
        <row r="1724">
          <cell r="B1724">
            <v>544079</v>
          </cell>
          <cell r="C1724" t="str">
            <v>ADL-996</v>
          </cell>
          <cell r="D1724" t="str">
            <v>Md. Anowar Hossain</v>
          </cell>
          <cell r="E1724">
            <v>544079</v>
          </cell>
          <cell r="F1724" t="str">
            <v>Sales</v>
          </cell>
          <cell r="G1724" t="str">
            <v>Territory Sales Manager</v>
          </cell>
        </row>
        <row r="1725">
          <cell r="B1725">
            <v>544082</v>
          </cell>
          <cell r="C1725" t="str">
            <v>ADL-1002</v>
          </cell>
          <cell r="D1725" t="str">
            <v>Md. Al-Amin Khan</v>
          </cell>
          <cell r="E1725">
            <v>544082</v>
          </cell>
          <cell r="F1725" t="str">
            <v>Sales</v>
          </cell>
          <cell r="G1725" t="str">
            <v>Territory Sales Manager</v>
          </cell>
        </row>
        <row r="1726">
          <cell r="B1726">
            <v>544084</v>
          </cell>
          <cell r="C1726" t="str">
            <v>ADL-1003</v>
          </cell>
          <cell r="D1726" t="str">
            <v>Motahar Hossen</v>
          </cell>
          <cell r="E1726">
            <v>544084</v>
          </cell>
          <cell r="F1726" t="str">
            <v>Sales</v>
          </cell>
          <cell r="G1726" t="str">
            <v>Territory Sales Manager</v>
          </cell>
        </row>
        <row r="1727">
          <cell r="B1727">
            <v>544086</v>
          </cell>
          <cell r="C1727" t="str">
            <v>ADL-1005</v>
          </cell>
          <cell r="D1727" t="str">
            <v>Md. Helal Uddin</v>
          </cell>
          <cell r="E1727">
            <v>544086</v>
          </cell>
          <cell r="F1727" t="str">
            <v>Sales</v>
          </cell>
          <cell r="G1727" t="str">
            <v>Territory Sales Manager</v>
          </cell>
        </row>
        <row r="1728">
          <cell r="B1728">
            <v>544087</v>
          </cell>
          <cell r="C1728" t="str">
            <v>ADL-1006</v>
          </cell>
          <cell r="D1728" t="str">
            <v>Nayan Kumar Sarker</v>
          </cell>
          <cell r="E1728">
            <v>544087</v>
          </cell>
          <cell r="F1728" t="str">
            <v>Sales</v>
          </cell>
          <cell r="G1728" t="str">
            <v>Territory Sales Manager</v>
          </cell>
        </row>
        <row r="1729">
          <cell r="B1729">
            <v>544144</v>
          </cell>
          <cell r="C1729" t="str">
            <v>ADL-1008</v>
          </cell>
          <cell r="D1729" t="str">
            <v>Md. Mossarof Hossen</v>
          </cell>
          <cell r="E1729">
            <v>544144</v>
          </cell>
          <cell r="F1729" t="str">
            <v>Sales</v>
          </cell>
          <cell r="G1729" t="str">
            <v>Territory Sales Manager</v>
          </cell>
        </row>
        <row r="1730">
          <cell r="B1730">
            <v>544149</v>
          </cell>
          <cell r="C1730" t="str">
            <v>ADL-1013</v>
          </cell>
          <cell r="D1730" t="str">
            <v>Faruque Hossain</v>
          </cell>
          <cell r="E1730">
            <v>544149</v>
          </cell>
          <cell r="F1730" t="str">
            <v>Sales</v>
          </cell>
          <cell r="G1730" t="str">
            <v>Territory Sales Manager</v>
          </cell>
        </row>
        <row r="1731">
          <cell r="B1731">
            <v>544174</v>
          </cell>
          <cell r="C1731" t="str">
            <v>FR5490</v>
          </cell>
          <cell r="D1731" t="str">
            <v xml:space="preserve">Rasel Mahmud </v>
          </cell>
          <cell r="E1731">
            <v>544174</v>
          </cell>
          <cell r="F1731" t="str">
            <v>Dairy distribution</v>
          </cell>
          <cell r="G1731" t="str">
            <v>Executive</v>
          </cell>
        </row>
        <row r="1732">
          <cell r="B1732">
            <v>544360</v>
          </cell>
          <cell r="C1732" t="str">
            <v>ADL-978</v>
          </cell>
          <cell r="D1732" t="str">
            <v>Md. Hasanuzzaman</v>
          </cell>
          <cell r="E1732">
            <v>544360</v>
          </cell>
          <cell r="F1732" t="str">
            <v>Sales</v>
          </cell>
          <cell r="G1732" t="str">
            <v>Territory Sales Manager</v>
          </cell>
        </row>
        <row r="1733">
          <cell r="B1733">
            <v>544431</v>
          </cell>
          <cell r="C1733" t="str">
            <v>ADL-1024</v>
          </cell>
          <cell r="D1733" t="str">
            <v>Md. Rumel Howlader</v>
          </cell>
          <cell r="E1733">
            <v>544431</v>
          </cell>
          <cell r="F1733" t="str">
            <v>Sales</v>
          </cell>
          <cell r="G1733" t="str">
            <v>Territory Sales Manager</v>
          </cell>
        </row>
        <row r="1734">
          <cell r="B1734">
            <v>546038</v>
          </cell>
          <cell r="C1734" t="str">
            <v>ADL-1357</v>
          </cell>
          <cell r="D1734" t="str">
            <v>Md. Sabbir Hossain</v>
          </cell>
          <cell r="E1734">
            <v>546038</v>
          </cell>
          <cell r="F1734" t="str">
            <v>Sales</v>
          </cell>
          <cell r="G1734" t="str">
            <v>Territory Sales Manager</v>
          </cell>
        </row>
        <row r="1735">
          <cell r="B1735">
            <v>547995</v>
          </cell>
          <cell r="C1735" t="str">
            <v>ADL-1450</v>
          </cell>
          <cell r="D1735" t="str">
            <v>Md. Zayed Hossain</v>
          </cell>
          <cell r="E1735">
            <v>547995</v>
          </cell>
          <cell r="F1735" t="str">
            <v>Sales</v>
          </cell>
          <cell r="G1735" t="str">
            <v>Regional Sales Manager</v>
          </cell>
        </row>
        <row r="1736">
          <cell r="B1736">
            <v>548097</v>
          </cell>
          <cell r="C1736" t="str">
            <v>FR5520</v>
          </cell>
          <cell r="D1736" t="str">
            <v>Md. Kaosar Alam</v>
          </cell>
          <cell r="E1736">
            <v>548097</v>
          </cell>
          <cell r="F1736" t="str">
            <v>Dairy</v>
          </cell>
          <cell r="G1736" t="str">
            <v>Assistant Manager</v>
          </cell>
        </row>
        <row r="1737">
          <cell r="B1737">
            <v>548197</v>
          </cell>
          <cell r="C1737" t="str">
            <v>ADL-1463</v>
          </cell>
          <cell r="D1737" t="str">
            <v>Md. Morshed Alam</v>
          </cell>
          <cell r="E1737">
            <v>548197</v>
          </cell>
          <cell r="F1737" t="str">
            <v>Brand</v>
          </cell>
          <cell r="G1737" t="str">
            <v>Deputy Manager</v>
          </cell>
        </row>
        <row r="1738">
          <cell r="B1738">
            <v>549494</v>
          </cell>
          <cell r="C1738" t="str">
            <v>AFBL-R3398</v>
          </cell>
          <cell r="D1738" t="str">
            <v>Golam Samdani</v>
          </cell>
          <cell r="E1738">
            <v>549494</v>
          </cell>
          <cell r="F1738" t="str">
            <v>Finance &amp; Accounts</v>
          </cell>
          <cell r="G1738" t="str">
            <v>Executive</v>
          </cell>
        </row>
        <row r="1739">
          <cell r="B1739">
            <v>549495</v>
          </cell>
          <cell r="C1739" t="str">
            <v>ADL-1584</v>
          </cell>
          <cell r="D1739" t="str">
            <v>Md. Sakif Hossain Chowdhury</v>
          </cell>
          <cell r="E1739">
            <v>549495</v>
          </cell>
          <cell r="F1739" t="str">
            <v>Sales Admin</v>
          </cell>
          <cell r="G1739" t="str">
            <v>Executive</v>
          </cell>
        </row>
        <row r="1740">
          <cell r="B1740">
            <v>549568</v>
          </cell>
          <cell r="C1740" t="str">
            <v>ADL-1364</v>
          </cell>
          <cell r="D1740" t="str">
            <v>Md. Mohaimanul Islam</v>
          </cell>
          <cell r="E1740">
            <v>549568</v>
          </cell>
          <cell r="F1740" t="str">
            <v>Finance &amp; Accounts</v>
          </cell>
          <cell r="G1740" t="str">
            <v>Senior Executive</v>
          </cell>
        </row>
        <row r="1741">
          <cell r="B1741">
            <v>549744</v>
          </cell>
          <cell r="C1741" t="str">
            <v>ADL(CC)-608</v>
          </cell>
          <cell r="D1741" t="str">
            <v>Md. Moniruzzaman Mamun</v>
          </cell>
          <cell r="E1741">
            <v>549744</v>
          </cell>
          <cell r="F1741" t="str">
            <v>Accounts And Finance</v>
          </cell>
          <cell r="G1741" t="str">
            <v>Junior Executive</v>
          </cell>
        </row>
        <row r="1742">
          <cell r="B1742">
            <v>550058</v>
          </cell>
          <cell r="C1742" t="str">
            <v>ADL-1621</v>
          </cell>
          <cell r="D1742" t="str">
            <v>Mohammad Ali</v>
          </cell>
          <cell r="E1742">
            <v>550058</v>
          </cell>
          <cell r="F1742" t="str">
            <v>Sales</v>
          </cell>
          <cell r="G1742" t="str">
            <v>Territory Sales Manager</v>
          </cell>
        </row>
        <row r="1743">
          <cell r="B1743">
            <v>550364</v>
          </cell>
          <cell r="C1743" t="str">
            <v>ADL-1642</v>
          </cell>
          <cell r="D1743" t="str">
            <v>Md Ashikhur Rahman</v>
          </cell>
          <cell r="E1743">
            <v>550364</v>
          </cell>
          <cell r="F1743" t="str">
            <v>Sales</v>
          </cell>
          <cell r="G1743" t="str">
            <v>Territory Sales Manager</v>
          </cell>
        </row>
        <row r="1744">
          <cell r="B1744">
            <v>550375</v>
          </cell>
          <cell r="C1744" t="str">
            <v>ADL-1651</v>
          </cell>
          <cell r="D1744" t="str">
            <v>Abdulla Al Mahmudul</v>
          </cell>
          <cell r="E1744">
            <v>550375</v>
          </cell>
          <cell r="F1744" t="str">
            <v>Sales</v>
          </cell>
          <cell r="G1744" t="str">
            <v>Territory Sales Manager</v>
          </cell>
        </row>
        <row r="1745">
          <cell r="B1745">
            <v>551322</v>
          </cell>
          <cell r="C1745" t="str">
            <v>FR5761</v>
          </cell>
          <cell r="D1745" t="str">
            <v>Eyahya</v>
          </cell>
          <cell r="E1745">
            <v>551322</v>
          </cell>
          <cell r="F1745" t="str">
            <v>Dairy QC</v>
          </cell>
          <cell r="G1745" t="str">
            <v>Junior Executive</v>
          </cell>
        </row>
        <row r="1746">
          <cell r="B1746">
            <v>553265</v>
          </cell>
          <cell r="C1746" t="str">
            <v>ADL-1774</v>
          </cell>
          <cell r="D1746" t="str">
            <v>Md. Shariful Islam</v>
          </cell>
          <cell r="E1746">
            <v>553265</v>
          </cell>
          <cell r="F1746" t="str">
            <v>Sales</v>
          </cell>
          <cell r="G1746" t="str">
            <v>Territory Sales Manager</v>
          </cell>
        </row>
        <row r="1747">
          <cell r="B1747">
            <v>553824</v>
          </cell>
          <cell r="C1747" t="str">
            <v>ADL-1802</v>
          </cell>
          <cell r="D1747" t="str">
            <v>Kashem Oshman Rabby</v>
          </cell>
          <cell r="E1747">
            <v>553824</v>
          </cell>
          <cell r="F1747" t="str">
            <v>Supply Chain</v>
          </cell>
          <cell r="G1747" t="str">
            <v>Senior Executive</v>
          </cell>
        </row>
        <row r="1748">
          <cell r="B1748">
            <v>553853</v>
          </cell>
          <cell r="C1748" t="str">
            <v>ADL-1803</v>
          </cell>
          <cell r="D1748" t="str">
            <v>Faysal Ahammed</v>
          </cell>
          <cell r="E1748">
            <v>553853</v>
          </cell>
          <cell r="F1748" t="str">
            <v>Sales</v>
          </cell>
          <cell r="G1748" t="str">
            <v>Area Sales Manager</v>
          </cell>
        </row>
        <row r="1749">
          <cell r="B1749">
            <v>554082</v>
          </cell>
          <cell r="C1749" t="str">
            <v>ADL-1807</v>
          </cell>
          <cell r="D1749" t="str">
            <v>Md. Amirul Islam</v>
          </cell>
          <cell r="E1749">
            <v>554082</v>
          </cell>
          <cell r="F1749" t="str">
            <v>Sales</v>
          </cell>
          <cell r="G1749" t="str">
            <v>Territory Sales Manager</v>
          </cell>
        </row>
        <row r="1750">
          <cell r="B1750">
            <v>554090</v>
          </cell>
          <cell r="C1750" t="str">
            <v>ADL(CC)-659</v>
          </cell>
          <cell r="D1750" t="str">
            <v>Md. Hasan Biswas</v>
          </cell>
          <cell r="E1750">
            <v>554090</v>
          </cell>
          <cell r="F1750" t="str">
            <v>Chilling Center</v>
          </cell>
          <cell r="G1750" t="str">
            <v>Veterinary Doctor</v>
          </cell>
        </row>
        <row r="1751">
          <cell r="B1751">
            <v>554494</v>
          </cell>
          <cell r="C1751" t="str">
            <v>FR6001</v>
          </cell>
          <cell r="D1751" t="str">
            <v>Mamunur Rashid Tusher</v>
          </cell>
          <cell r="E1751">
            <v>554494</v>
          </cell>
          <cell r="F1751" t="str">
            <v>Dairy QC</v>
          </cell>
          <cell r="G1751" t="str">
            <v>Junior Executive</v>
          </cell>
        </row>
        <row r="1752">
          <cell r="B1752">
            <v>554496</v>
          </cell>
          <cell r="C1752" t="str">
            <v>FR6002</v>
          </cell>
          <cell r="D1752" t="str">
            <v>Md.Shahadot Hossain</v>
          </cell>
          <cell r="E1752">
            <v>554496</v>
          </cell>
          <cell r="F1752" t="str">
            <v>Dairy QC</v>
          </cell>
          <cell r="G1752" t="str">
            <v>Junior Executive</v>
          </cell>
        </row>
        <row r="1753">
          <cell r="B1753">
            <v>554503</v>
          </cell>
          <cell r="C1753" t="str">
            <v>FR6007</v>
          </cell>
          <cell r="D1753" t="str">
            <v>Nimur Rahman</v>
          </cell>
          <cell r="E1753">
            <v>554503</v>
          </cell>
          <cell r="F1753" t="str">
            <v>Dairy QC</v>
          </cell>
          <cell r="G1753" t="str">
            <v>Junior Executive</v>
          </cell>
        </row>
        <row r="1754">
          <cell r="B1754">
            <v>555104</v>
          </cell>
          <cell r="C1754" t="str">
            <v>ADL-1883</v>
          </cell>
          <cell r="D1754" t="str">
            <v>Md. Kazi Sohag</v>
          </cell>
          <cell r="E1754">
            <v>555104</v>
          </cell>
          <cell r="F1754" t="str">
            <v>Sales</v>
          </cell>
          <cell r="G1754" t="str">
            <v>Territory Sales Manager</v>
          </cell>
        </row>
        <row r="1755">
          <cell r="B1755">
            <v>555479</v>
          </cell>
          <cell r="C1755" t="str">
            <v>ADL-1916</v>
          </cell>
          <cell r="D1755" t="str">
            <v>Md. Kamruzzaman</v>
          </cell>
          <cell r="E1755">
            <v>555479</v>
          </cell>
          <cell r="F1755" t="str">
            <v>Sales</v>
          </cell>
          <cell r="G1755" t="str">
            <v>Area Sales Manager</v>
          </cell>
        </row>
        <row r="1756">
          <cell r="B1756">
            <v>555802</v>
          </cell>
          <cell r="C1756" t="str">
            <v>ADL-1931</v>
          </cell>
          <cell r="D1756" t="str">
            <v>Md. Rana Hossain</v>
          </cell>
          <cell r="E1756">
            <v>555802</v>
          </cell>
          <cell r="F1756" t="str">
            <v>Sales</v>
          </cell>
          <cell r="G1756" t="str">
            <v>Territory Sales Manager</v>
          </cell>
        </row>
        <row r="1757">
          <cell r="B1757">
            <v>555918</v>
          </cell>
          <cell r="C1757" t="str">
            <v>ADL-1944</v>
          </cell>
          <cell r="D1757" t="str">
            <v>Md. Rifat Hosen</v>
          </cell>
          <cell r="E1757">
            <v>555918</v>
          </cell>
          <cell r="F1757" t="str">
            <v>Sales</v>
          </cell>
          <cell r="G1757" t="str">
            <v>Territory Sales Manager</v>
          </cell>
        </row>
        <row r="1758">
          <cell r="B1758">
            <v>556020</v>
          </cell>
          <cell r="C1758" t="str">
            <v>ADL(CC)-664</v>
          </cell>
          <cell r="D1758" t="str">
            <v>Md. Nazmul Huda</v>
          </cell>
          <cell r="E1758">
            <v>556020</v>
          </cell>
          <cell r="F1758" t="str">
            <v>Chilling Center</v>
          </cell>
          <cell r="G1758" t="str">
            <v>Regional Manager</v>
          </cell>
        </row>
        <row r="1759">
          <cell r="B1759">
            <v>557660</v>
          </cell>
          <cell r="C1759" t="str">
            <v>ADL-2026</v>
          </cell>
          <cell r="D1759" t="str">
            <v>Md. Nazim Uddin</v>
          </cell>
          <cell r="E1759">
            <v>557660</v>
          </cell>
          <cell r="F1759" t="str">
            <v>Sales</v>
          </cell>
          <cell r="G1759" t="str">
            <v>Senior Territory Sales Manager</v>
          </cell>
        </row>
        <row r="1760">
          <cell r="B1760">
            <v>557770</v>
          </cell>
          <cell r="C1760" t="str">
            <v>ADL-2032</v>
          </cell>
          <cell r="D1760" t="str">
            <v>M. Saiful Hasan Jahid</v>
          </cell>
          <cell r="E1760">
            <v>557770</v>
          </cell>
          <cell r="F1760" t="str">
            <v>Sales</v>
          </cell>
          <cell r="G1760" t="str">
            <v>Area Sales Manager</v>
          </cell>
        </row>
        <row r="1761">
          <cell r="B1761">
            <v>557771</v>
          </cell>
          <cell r="C1761" t="str">
            <v>ADL-2033</v>
          </cell>
          <cell r="D1761" t="str">
            <v>Md. Kamrul Islam</v>
          </cell>
          <cell r="E1761">
            <v>557771</v>
          </cell>
          <cell r="F1761" t="str">
            <v>Sales</v>
          </cell>
          <cell r="G1761" t="str">
            <v>Regional Sales Manager</v>
          </cell>
        </row>
        <row r="1762">
          <cell r="B1762">
            <v>557814</v>
          </cell>
          <cell r="C1762" t="str">
            <v>ADL-2034</v>
          </cell>
          <cell r="D1762" t="str">
            <v>Mohammad Sohel Meah</v>
          </cell>
          <cell r="E1762">
            <v>557814</v>
          </cell>
          <cell r="F1762" t="str">
            <v>Sales</v>
          </cell>
          <cell r="G1762" t="str">
            <v>Territory Sales Manager</v>
          </cell>
        </row>
        <row r="1763">
          <cell r="B1763">
            <v>558021</v>
          </cell>
          <cell r="C1763" t="str">
            <v>ADL-2049</v>
          </cell>
          <cell r="D1763" t="str">
            <v>Md. Foysal Uddin</v>
          </cell>
          <cell r="E1763">
            <v>558021</v>
          </cell>
          <cell r="F1763" t="str">
            <v>Sales</v>
          </cell>
          <cell r="G1763" t="str">
            <v>Territory Sales Manager</v>
          </cell>
        </row>
        <row r="1764">
          <cell r="B1764">
            <v>558023</v>
          </cell>
          <cell r="C1764" t="str">
            <v>ADL-2047</v>
          </cell>
          <cell r="D1764" t="str">
            <v>Bishajit Banik</v>
          </cell>
          <cell r="E1764">
            <v>558023</v>
          </cell>
          <cell r="F1764" t="str">
            <v>Sales</v>
          </cell>
          <cell r="G1764" t="str">
            <v>Area Sales Manager</v>
          </cell>
        </row>
        <row r="1765">
          <cell r="B1765">
            <v>558071</v>
          </cell>
          <cell r="C1765" t="str">
            <v>ADL-2051</v>
          </cell>
          <cell r="D1765" t="str">
            <v>Md. Golam Faruq</v>
          </cell>
          <cell r="E1765">
            <v>558071</v>
          </cell>
          <cell r="F1765" t="str">
            <v>Sales</v>
          </cell>
          <cell r="G1765" t="str">
            <v>Territory Sales Manager</v>
          </cell>
        </row>
        <row r="1766">
          <cell r="B1766">
            <v>558175</v>
          </cell>
          <cell r="C1766" t="str">
            <v>ADL-2053</v>
          </cell>
          <cell r="D1766" t="str">
            <v>Md. Rony Mia</v>
          </cell>
          <cell r="E1766">
            <v>558175</v>
          </cell>
          <cell r="F1766" t="str">
            <v>Sales</v>
          </cell>
          <cell r="G1766" t="str">
            <v>Area Sales Manager</v>
          </cell>
        </row>
        <row r="1767">
          <cell r="B1767">
            <v>558316</v>
          </cell>
          <cell r="C1767" t="str">
            <v>FR6359</v>
          </cell>
          <cell r="D1767" t="str">
            <v>Md. Shamsujjaman Shohel</v>
          </cell>
          <cell r="E1767">
            <v>558316</v>
          </cell>
          <cell r="F1767" t="str">
            <v>Dairy distribution</v>
          </cell>
          <cell r="G1767" t="str">
            <v>Executive</v>
          </cell>
        </row>
        <row r="1768">
          <cell r="B1768">
            <v>558583</v>
          </cell>
          <cell r="C1768" t="str">
            <v>ADL-2088</v>
          </cell>
          <cell r="D1768" t="str">
            <v>Khairul Islam</v>
          </cell>
          <cell r="E1768">
            <v>558583</v>
          </cell>
          <cell r="F1768" t="str">
            <v>Sales</v>
          </cell>
          <cell r="G1768" t="str">
            <v>Territory Sales Manager</v>
          </cell>
        </row>
        <row r="1769">
          <cell r="B1769">
            <v>559313</v>
          </cell>
          <cell r="C1769" t="str">
            <v>ADL-2166</v>
          </cell>
          <cell r="D1769" t="str">
            <v>Md. Mamunur Rashid</v>
          </cell>
          <cell r="E1769">
            <v>559313</v>
          </cell>
          <cell r="F1769" t="str">
            <v>Sales</v>
          </cell>
          <cell r="G1769" t="str">
            <v>Senior Territory Sales Manager</v>
          </cell>
        </row>
        <row r="1770">
          <cell r="B1770">
            <v>559321</v>
          </cell>
          <cell r="C1770" t="str">
            <v>FR6404</v>
          </cell>
          <cell r="D1770" t="str">
            <v xml:space="preserve">Md. Sharif Uddin </v>
          </cell>
          <cell r="E1770">
            <v>559321</v>
          </cell>
          <cell r="F1770" t="str">
            <v>Dairy</v>
          </cell>
          <cell r="G1770" t="str">
            <v>Executive</v>
          </cell>
        </row>
        <row r="1771">
          <cell r="B1771">
            <v>559695</v>
          </cell>
          <cell r="C1771" t="str">
            <v>ADL-2193</v>
          </cell>
          <cell r="D1771" t="str">
            <v>Nirmol Kumar</v>
          </cell>
          <cell r="E1771">
            <v>559695</v>
          </cell>
          <cell r="F1771" t="str">
            <v>Sales</v>
          </cell>
          <cell r="G1771" t="str">
            <v>Territory Sales Manager</v>
          </cell>
        </row>
        <row r="1772">
          <cell r="B1772">
            <v>559997</v>
          </cell>
          <cell r="C1772" t="str">
            <v>ADL-2212</v>
          </cell>
          <cell r="D1772" t="str">
            <v>Md. Golam Rasul</v>
          </cell>
          <cell r="E1772">
            <v>559997</v>
          </cell>
          <cell r="F1772" t="str">
            <v>Sales</v>
          </cell>
          <cell r="G1772" t="str">
            <v>Area Sales Manager</v>
          </cell>
        </row>
        <row r="1773">
          <cell r="B1773">
            <v>560400</v>
          </cell>
          <cell r="C1773" t="str">
            <v>ADL-2234</v>
          </cell>
          <cell r="D1773" t="str">
            <v>Md. Shamim Ahammed</v>
          </cell>
          <cell r="E1773">
            <v>560400</v>
          </cell>
          <cell r="F1773" t="str">
            <v>Sales</v>
          </cell>
          <cell r="G1773" t="str">
            <v>Area Sales Manager</v>
          </cell>
        </row>
        <row r="1774">
          <cell r="B1774">
            <v>560446</v>
          </cell>
          <cell r="C1774" t="str">
            <v>FR6460</v>
          </cell>
          <cell r="D1774" t="str">
            <v>Chironjit Roy</v>
          </cell>
          <cell r="E1774">
            <v>560446</v>
          </cell>
          <cell r="F1774" t="str">
            <v>Dairy</v>
          </cell>
          <cell r="G1774" t="str">
            <v>Junior Executive</v>
          </cell>
        </row>
        <row r="1775">
          <cell r="B1775">
            <v>560900</v>
          </cell>
          <cell r="C1775" t="str">
            <v>ADL-2249</v>
          </cell>
          <cell r="D1775" t="str">
            <v>Md. Sajib Mia</v>
          </cell>
          <cell r="E1775">
            <v>560900</v>
          </cell>
          <cell r="F1775" t="str">
            <v>Sales</v>
          </cell>
          <cell r="G1775" t="str">
            <v>Territory Sales Manager</v>
          </cell>
        </row>
        <row r="1776">
          <cell r="B1776">
            <v>561098</v>
          </cell>
          <cell r="C1776" t="str">
            <v>ADL-2270</v>
          </cell>
          <cell r="D1776" t="str">
            <v>Md. Ariful Islam</v>
          </cell>
          <cell r="E1776">
            <v>561098</v>
          </cell>
          <cell r="F1776" t="str">
            <v>Sales</v>
          </cell>
          <cell r="G1776" t="str">
            <v>Territory Sales Manager</v>
          </cell>
        </row>
        <row r="1777">
          <cell r="B1777">
            <v>561124</v>
          </cell>
          <cell r="C1777" t="str">
            <v>ADL-2272</v>
          </cell>
          <cell r="D1777" t="str">
            <v>Naziul Islam</v>
          </cell>
          <cell r="E1777">
            <v>561124</v>
          </cell>
          <cell r="F1777" t="str">
            <v>Sales</v>
          </cell>
          <cell r="G1777" t="str">
            <v>Territory Sales Manager</v>
          </cell>
        </row>
        <row r="1778">
          <cell r="B1778">
            <v>561126</v>
          </cell>
          <cell r="C1778" t="str">
            <v>ADL-2274</v>
          </cell>
          <cell r="D1778" t="str">
            <v>Md. Jahidul Islam Yousuf</v>
          </cell>
          <cell r="E1778">
            <v>561126</v>
          </cell>
          <cell r="F1778" t="str">
            <v>Sales</v>
          </cell>
          <cell r="G1778" t="str">
            <v>Territory Sales Manager</v>
          </cell>
        </row>
        <row r="1779">
          <cell r="B1779">
            <v>561127</v>
          </cell>
          <cell r="C1779" t="str">
            <v>ADL-2275</v>
          </cell>
          <cell r="D1779" t="str">
            <v>Md. Rajib Hossain</v>
          </cell>
          <cell r="E1779">
            <v>561127</v>
          </cell>
          <cell r="F1779" t="str">
            <v>Sales</v>
          </cell>
          <cell r="G1779" t="str">
            <v>Senior Territory Sales Manager</v>
          </cell>
        </row>
        <row r="1780">
          <cell r="B1780">
            <v>561228</v>
          </cell>
          <cell r="C1780" t="str">
            <v>ADL-2288</v>
          </cell>
          <cell r="D1780" t="str">
            <v>Md Masum</v>
          </cell>
          <cell r="E1780">
            <v>561228</v>
          </cell>
          <cell r="F1780" t="str">
            <v>Sales</v>
          </cell>
          <cell r="G1780" t="str">
            <v>Territory Sales Manager</v>
          </cell>
        </row>
        <row r="1781">
          <cell r="B1781">
            <v>561230</v>
          </cell>
          <cell r="C1781" t="str">
            <v>ADL-2290</v>
          </cell>
          <cell r="D1781" t="str">
            <v>Md. Biplob Hossain</v>
          </cell>
          <cell r="E1781">
            <v>561230</v>
          </cell>
          <cell r="F1781" t="str">
            <v>Sales</v>
          </cell>
          <cell r="G1781" t="str">
            <v>Territory Sales Manager</v>
          </cell>
        </row>
        <row r="1782">
          <cell r="B1782">
            <v>561233</v>
          </cell>
          <cell r="C1782" t="str">
            <v>ADL-2292</v>
          </cell>
          <cell r="D1782" t="str">
            <v>Zaberul Islam</v>
          </cell>
          <cell r="E1782">
            <v>561233</v>
          </cell>
          <cell r="F1782" t="str">
            <v>Sales</v>
          </cell>
          <cell r="G1782" t="str">
            <v>Territory Sales Manager</v>
          </cell>
        </row>
        <row r="1783">
          <cell r="B1783">
            <v>561237</v>
          </cell>
          <cell r="C1783" t="str">
            <v>ADL-2287</v>
          </cell>
          <cell r="D1783" t="str">
            <v>Md. Masum Billah</v>
          </cell>
          <cell r="E1783">
            <v>561237</v>
          </cell>
          <cell r="F1783" t="str">
            <v>Sales</v>
          </cell>
          <cell r="G1783" t="str">
            <v>Territory Sales Manager</v>
          </cell>
        </row>
        <row r="1784">
          <cell r="B1784">
            <v>561254</v>
          </cell>
          <cell r="C1784" t="str">
            <v>ADL-2293</v>
          </cell>
          <cell r="D1784" t="str">
            <v>Md. Abdul Karim</v>
          </cell>
          <cell r="E1784">
            <v>561254</v>
          </cell>
          <cell r="F1784" t="str">
            <v>Sales</v>
          </cell>
          <cell r="G1784" t="str">
            <v>Territory Sales Manager</v>
          </cell>
        </row>
        <row r="1785">
          <cell r="B1785">
            <v>561277</v>
          </cell>
          <cell r="C1785" t="str">
            <v>ADL-2294</v>
          </cell>
          <cell r="D1785" t="str">
            <v>Md. Tarikul Islam</v>
          </cell>
          <cell r="E1785">
            <v>561277</v>
          </cell>
          <cell r="F1785" t="str">
            <v>Sales</v>
          </cell>
          <cell r="G1785" t="str">
            <v>Territory Sales Manager</v>
          </cell>
        </row>
        <row r="1786">
          <cell r="B1786">
            <v>561328</v>
          </cell>
          <cell r="C1786" t="str">
            <v>FR6496</v>
          </cell>
          <cell r="D1786" t="str">
            <v>Ifti Ibna Reza</v>
          </cell>
          <cell r="E1786">
            <v>561328</v>
          </cell>
          <cell r="F1786" t="str">
            <v>Civil</v>
          </cell>
          <cell r="G1786" t="str">
            <v>Assistant Engineer</v>
          </cell>
        </row>
        <row r="1787">
          <cell r="B1787">
            <v>561466</v>
          </cell>
          <cell r="C1787" t="str">
            <v>ADL-2298</v>
          </cell>
          <cell r="D1787" t="str">
            <v>Muhammad Rubel Patwary</v>
          </cell>
          <cell r="E1787">
            <v>561466</v>
          </cell>
          <cell r="F1787" t="str">
            <v>Sales</v>
          </cell>
          <cell r="G1787" t="str">
            <v>Territory Sales Manager</v>
          </cell>
        </row>
        <row r="1788">
          <cell r="B1788">
            <v>561531</v>
          </cell>
          <cell r="C1788" t="str">
            <v>ADL-2321</v>
          </cell>
          <cell r="D1788" t="str">
            <v>Md. Matiur Rahman</v>
          </cell>
          <cell r="E1788">
            <v>561531</v>
          </cell>
          <cell r="F1788" t="str">
            <v>Sales</v>
          </cell>
          <cell r="G1788" t="str">
            <v>Area Sales Manager</v>
          </cell>
        </row>
        <row r="1789">
          <cell r="B1789">
            <v>561928</v>
          </cell>
          <cell r="C1789" t="str">
            <v>ADL-2331</v>
          </cell>
          <cell r="D1789" t="str">
            <v>Md. Tanvir Hossain</v>
          </cell>
          <cell r="E1789">
            <v>561928</v>
          </cell>
          <cell r="F1789" t="str">
            <v>Sales</v>
          </cell>
          <cell r="G1789" t="str">
            <v>Territory Sales Manager</v>
          </cell>
        </row>
        <row r="1790">
          <cell r="B1790">
            <v>561937</v>
          </cell>
          <cell r="C1790" t="str">
            <v>ADL-2332</v>
          </cell>
          <cell r="D1790" t="str">
            <v>Md. Abul Bashar</v>
          </cell>
          <cell r="E1790">
            <v>561937</v>
          </cell>
          <cell r="F1790" t="str">
            <v>Sales</v>
          </cell>
          <cell r="G1790" t="str">
            <v>Regional Sales Manager</v>
          </cell>
        </row>
        <row r="1791">
          <cell r="B1791">
            <v>562375</v>
          </cell>
          <cell r="C1791" t="str">
            <v>ADL-2347</v>
          </cell>
          <cell r="D1791" t="str">
            <v>Al Syem Md. Toukir</v>
          </cell>
          <cell r="E1791">
            <v>562375</v>
          </cell>
          <cell r="F1791" t="str">
            <v>Accounts And Finance</v>
          </cell>
          <cell r="G1791" t="str">
            <v>Senior Executive</v>
          </cell>
        </row>
        <row r="1792">
          <cell r="B1792">
            <v>562435</v>
          </cell>
          <cell r="C1792" t="str">
            <v>ADL-2350</v>
          </cell>
          <cell r="D1792" t="str">
            <v>Abdul Motin Bhuiyan</v>
          </cell>
          <cell r="E1792">
            <v>562435</v>
          </cell>
          <cell r="F1792" t="str">
            <v>Sales</v>
          </cell>
          <cell r="G1792" t="str">
            <v>Area Sales Manager</v>
          </cell>
        </row>
        <row r="1793">
          <cell r="B1793">
            <v>562448</v>
          </cell>
          <cell r="C1793" t="str">
            <v>ADL-2351</v>
          </cell>
          <cell r="D1793" t="str">
            <v>Md. Awlad Hossain</v>
          </cell>
          <cell r="E1793">
            <v>562448</v>
          </cell>
          <cell r="F1793" t="str">
            <v>Sales &amp; Marketing</v>
          </cell>
          <cell r="G1793" t="str">
            <v>Senior Territory Sales Manager</v>
          </cell>
        </row>
        <row r="1794">
          <cell r="B1794">
            <v>562453</v>
          </cell>
          <cell r="C1794" t="str">
            <v>ADL-2352</v>
          </cell>
          <cell r="D1794" t="str">
            <v>Md. Armanul Islam Rihan</v>
          </cell>
          <cell r="E1794">
            <v>562453</v>
          </cell>
          <cell r="F1794" t="str">
            <v>Sales</v>
          </cell>
          <cell r="G1794" t="str">
            <v>Regional Sales Incharge</v>
          </cell>
        </row>
        <row r="1795">
          <cell r="B1795">
            <v>562461</v>
          </cell>
          <cell r="C1795" t="str">
            <v>ADL-2354</v>
          </cell>
          <cell r="D1795" t="str">
            <v>Md. Mesba uddin</v>
          </cell>
          <cell r="E1795">
            <v>562461</v>
          </cell>
          <cell r="F1795" t="str">
            <v>Sales &amp; Marketing</v>
          </cell>
          <cell r="G1795" t="str">
            <v>Territory Sales Manager</v>
          </cell>
        </row>
        <row r="1796">
          <cell r="B1796">
            <v>562466</v>
          </cell>
          <cell r="C1796" t="str">
            <v>ADL-2353</v>
          </cell>
          <cell r="D1796" t="str">
            <v>Md. Sabbir Hossain</v>
          </cell>
          <cell r="E1796">
            <v>562466</v>
          </cell>
          <cell r="F1796" t="str">
            <v>Sales &amp; Marketing</v>
          </cell>
          <cell r="G1796" t="str">
            <v>Territory Sales Manager</v>
          </cell>
        </row>
        <row r="1797">
          <cell r="B1797">
            <v>562636</v>
          </cell>
          <cell r="C1797" t="str">
            <v>FR6799</v>
          </cell>
          <cell r="D1797" t="str">
            <v>Md.Mashiqur Rahman Sohag</v>
          </cell>
          <cell r="E1797">
            <v>562636</v>
          </cell>
          <cell r="F1797" t="str">
            <v>Dairy QC</v>
          </cell>
          <cell r="G1797" t="str">
            <v>Executive</v>
          </cell>
        </row>
        <row r="1798">
          <cell r="B1798">
            <v>562691</v>
          </cell>
          <cell r="C1798" t="str">
            <v>FR6804</v>
          </cell>
          <cell r="D1798" t="str">
            <v>Md. Milon Islam(I)</v>
          </cell>
          <cell r="E1798">
            <v>562691</v>
          </cell>
          <cell r="F1798" t="str">
            <v>Dairy distribution</v>
          </cell>
          <cell r="G1798" t="str">
            <v>Executive</v>
          </cell>
        </row>
        <row r="1799">
          <cell r="B1799">
            <v>562776</v>
          </cell>
          <cell r="C1799" t="str">
            <v>ADL-2366</v>
          </cell>
          <cell r="D1799" t="str">
            <v>Md. Nur Alam Mia</v>
          </cell>
          <cell r="E1799">
            <v>562776</v>
          </cell>
          <cell r="F1799" t="str">
            <v>Sales &amp; Marketing</v>
          </cell>
          <cell r="G1799" t="str">
            <v>Territory Sales Manager</v>
          </cell>
        </row>
        <row r="1800">
          <cell r="B1800">
            <v>562997</v>
          </cell>
          <cell r="C1800" t="str">
            <v>AFBL(Marketing)-17728</v>
          </cell>
          <cell r="D1800" t="str">
            <v>Mahmudur Rahman Chowdhury Sohag</v>
          </cell>
          <cell r="E1800">
            <v>562997</v>
          </cell>
          <cell r="F1800" t="str">
            <v>Sales &amp; Marketing</v>
          </cell>
          <cell r="G1800" t="str">
            <v>Area Sales Manager</v>
          </cell>
        </row>
        <row r="1801">
          <cell r="B1801">
            <v>563414</v>
          </cell>
          <cell r="C1801" t="str">
            <v>FR6878</v>
          </cell>
          <cell r="D1801" t="str">
            <v>Abdullah Hel Borhan Ruhani</v>
          </cell>
          <cell r="E1801">
            <v>563414</v>
          </cell>
          <cell r="F1801" t="str">
            <v>Dairy QC</v>
          </cell>
          <cell r="G1801" t="str">
            <v>Junior Executive</v>
          </cell>
        </row>
        <row r="1802">
          <cell r="B1802">
            <v>563443</v>
          </cell>
          <cell r="C1802" t="str">
            <v>ADL-2396</v>
          </cell>
          <cell r="D1802" t="str">
            <v>Md. Shamim Sheikh</v>
          </cell>
          <cell r="E1802">
            <v>563443</v>
          </cell>
          <cell r="F1802" t="str">
            <v>Sales</v>
          </cell>
          <cell r="G1802" t="str">
            <v>Territory Sales Manager</v>
          </cell>
        </row>
        <row r="1803">
          <cell r="B1803">
            <v>563456</v>
          </cell>
          <cell r="C1803" t="str">
            <v>ADL(CC)-723</v>
          </cell>
          <cell r="D1803" t="str">
            <v>Md. Arif Shariare Sagar</v>
          </cell>
          <cell r="E1803">
            <v>563456</v>
          </cell>
          <cell r="F1803" t="str">
            <v>Chilling Center</v>
          </cell>
          <cell r="G1803" t="str">
            <v>Veterinary Doctor</v>
          </cell>
        </row>
        <row r="1804">
          <cell r="B1804">
            <v>563651</v>
          </cell>
          <cell r="C1804" t="str">
            <v>ADL-2401</v>
          </cell>
          <cell r="D1804" t="str">
            <v>Raju Ahamed</v>
          </cell>
          <cell r="E1804">
            <v>563651</v>
          </cell>
          <cell r="F1804" t="str">
            <v>Sales</v>
          </cell>
          <cell r="G1804" t="str">
            <v>Territory Sales Manager</v>
          </cell>
        </row>
        <row r="1805">
          <cell r="B1805">
            <v>122066</v>
          </cell>
          <cell r="C1805" t="str">
            <v>R959</v>
          </cell>
          <cell r="D1805" t="str">
            <v>Kazi Masud Rana</v>
          </cell>
          <cell r="E1805">
            <v>122066</v>
          </cell>
          <cell r="F1805" t="str">
            <v>Fair Value</v>
          </cell>
          <cell r="G1805" t="str">
            <v>Deputy Manager</v>
          </cell>
        </row>
        <row r="1806">
          <cell r="B1806">
            <v>541175</v>
          </cell>
          <cell r="C1806" t="str">
            <v>FVL-001</v>
          </cell>
          <cell r="D1806" t="str">
            <v>Rashedul Haque</v>
          </cell>
          <cell r="E1806">
            <v>541175</v>
          </cell>
          <cell r="F1806" t="str">
            <v>Operations</v>
          </cell>
          <cell r="G1806" t="str">
            <v>Deputy Manager</v>
          </cell>
        </row>
        <row r="1807">
          <cell r="B1807">
            <v>546169</v>
          </cell>
          <cell r="C1807" t="str">
            <v>FVL-007</v>
          </cell>
          <cell r="D1807" t="str">
            <v>Riazul Islam</v>
          </cell>
          <cell r="E1807">
            <v>546169</v>
          </cell>
          <cell r="F1807" t="str">
            <v>Sales</v>
          </cell>
          <cell r="G1807" t="str">
            <v>Junior Executive</v>
          </cell>
        </row>
        <row r="1808">
          <cell r="B1808">
            <v>546455</v>
          </cell>
          <cell r="C1808" t="str">
            <v>FVL-011</v>
          </cell>
          <cell r="D1808" t="str">
            <v>Md. Jahirul Islam</v>
          </cell>
          <cell r="E1808">
            <v>546455</v>
          </cell>
          <cell r="F1808" t="str">
            <v>Sales &amp; Marketing</v>
          </cell>
          <cell r="G1808" t="str">
            <v>Junior Executive</v>
          </cell>
        </row>
        <row r="1809">
          <cell r="B1809">
            <v>548765</v>
          </cell>
          <cell r="C1809" t="str">
            <v>FVL-025</v>
          </cell>
          <cell r="D1809" t="str">
            <v xml:space="preserve">Mahmudur Rashid </v>
          </cell>
          <cell r="E1809">
            <v>548765</v>
          </cell>
          <cell r="F1809" t="str">
            <v>Sales &amp; Marketing</v>
          </cell>
          <cell r="G1809" t="str">
            <v>Executive</v>
          </cell>
        </row>
        <row r="1810">
          <cell r="B1810">
            <v>550114</v>
          </cell>
          <cell r="C1810" t="str">
            <v>FVL-037</v>
          </cell>
          <cell r="D1810" t="str">
            <v>Md. Alomgir Hosen</v>
          </cell>
          <cell r="E1810">
            <v>550114</v>
          </cell>
          <cell r="F1810" t="str">
            <v>Sales &amp; Marketing</v>
          </cell>
          <cell r="G1810" t="str">
            <v>Junior Executive</v>
          </cell>
        </row>
        <row r="1811">
          <cell r="B1811">
            <v>551987</v>
          </cell>
          <cell r="C1811" t="str">
            <v>FVL-054</v>
          </cell>
          <cell r="D1811" t="str">
            <v>Md. Rezaul Karim</v>
          </cell>
          <cell r="E1811">
            <v>551987</v>
          </cell>
          <cell r="F1811" t="str">
            <v>Fair Value</v>
          </cell>
          <cell r="G1811" t="str">
            <v>Executive</v>
          </cell>
        </row>
        <row r="1812">
          <cell r="B1812">
            <v>552080</v>
          </cell>
          <cell r="C1812" t="str">
            <v>FVL-057</v>
          </cell>
          <cell r="D1812" t="str">
            <v>Md. Sazzad Hossain Manik</v>
          </cell>
          <cell r="E1812">
            <v>552080</v>
          </cell>
          <cell r="F1812" t="str">
            <v>Sales</v>
          </cell>
          <cell r="G1812" t="str">
            <v>Junior Executive</v>
          </cell>
        </row>
        <row r="1813">
          <cell r="B1813">
            <v>554046</v>
          </cell>
          <cell r="C1813" t="str">
            <v>FVL-072</v>
          </cell>
          <cell r="D1813" t="str">
            <v>Shahinur Islam Sompod</v>
          </cell>
          <cell r="E1813">
            <v>554046</v>
          </cell>
          <cell r="F1813" t="str">
            <v>Sales</v>
          </cell>
          <cell r="G1813" t="str">
            <v>Junior Executive</v>
          </cell>
        </row>
        <row r="1814">
          <cell r="B1814">
            <v>556514</v>
          </cell>
          <cell r="C1814" t="str">
            <v>FVL-078</v>
          </cell>
          <cell r="D1814" t="str">
            <v>Md. Rabiul Bashar</v>
          </cell>
          <cell r="E1814">
            <v>556514</v>
          </cell>
          <cell r="F1814" t="str">
            <v>Supply Chain</v>
          </cell>
          <cell r="G1814" t="str">
            <v>Executive</v>
          </cell>
        </row>
        <row r="1815">
          <cell r="B1815">
            <v>556886</v>
          </cell>
          <cell r="C1815" t="str">
            <v>FVL-080</v>
          </cell>
          <cell r="D1815" t="str">
            <v>Md. Gias Uddin Biswas</v>
          </cell>
          <cell r="E1815">
            <v>556886</v>
          </cell>
          <cell r="F1815" t="str">
            <v>Operations</v>
          </cell>
          <cell r="G1815" t="str">
            <v>General Manager</v>
          </cell>
        </row>
        <row r="1816">
          <cell r="B1816">
            <v>557164</v>
          </cell>
          <cell r="C1816" t="str">
            <v>FVL-081</v>
          </cell>
          <cell r="D1816" t="str">
            <v>Abir Ahmed</v>
          </cell>
          <cell r="E1816">
            <v>557164</v>
          </cell>
          <cell r="F1816" t="str">
            <v>Digital Marketing</v>
          </cell>
          <cell r="G1816" t="str">
            <v>Manager</v>
          </cell>
        </row>
        <row r="1817">
          <cell r="B1817">
            <v>557878</v>
          </cell>
          <cell r="C1817" t="str">
            <v>FVL-090</v>
          </cell>
          <cell r="D1817" t="str">
            <v>Md. Muzahidul Haque</v>
          </cell>
          <cell r="E1817">
            <v>557878</v>
          </cell>
          <cell r="F1817" t="str">
            <v>Fair Value</v>
          </cell>
          <cell r="G1817" t="str">
            <v>Executive</v>
          </cell>
        </row>
        <row r="1818">
          <cell r="B1818">
            <v>558575</v>
          </cell>
          <cell r="C1818" t="str">
            <v>FVL-092</v>
          </cell>
          <cell r="D1818" t="str">
            <v>Fazla Rabby</v>
          </cell>
          <cell r="E1818">
            <v>558575</v>
          </cell>
          <cell r="F1818" t="str">
            <v>Fair Value</v>
          </cell>
          <cell r="G1818" t="str">
            <v>Executive</v>
          </cell>
        </row>
        <row r="1819">
          <cell r="B1819">
            <v>558957</v>
          </cell>
          <cell r="C1819" t="str">
            <v>FVL-095</v>
          </cell>
          <cell r="D1819" t="str">
            <v>Azamain Thamid Anan</v>
          </cell>
          <cell r="E1819">
            <v>558957</v>
          </cell>
          <cell r="F1819" t="str">
            <v>Fair Value</v>
          </cell>
          <cell r="G1819" t="str">
            <v>Executive</v>
          </cell>
        </row>
        <row r="1820">
          <cell r="B1820">
            <v>560597</v>
          </cell>
          <cell r="C1820" t="str">
            <v>FVL-134</v>
          </cell>
          <cell r="D1820" t="str">
            <v>Md. Main Uddin</v>
          </cell>
          <cell r="E1820">
            <v>560597</v>
          </cell>
          <cell r="F1820" t="str">
            <v>Sales</v>
          </cell>
          <cell r="G1820" t="str">
            <v>Executive</v>
          </cell>
        </row>
        <row r="1821">
          <cell r="B1821">
            <v>560807</v>
          </cell>
          <cell r="C1821" t="str">
            <v>FVL-139</v>
          </cell>
          <cell r="D1821" t="str">
            <v>Noor Mohammad Khan Tuhin</v>
          </cell>
          <cell r="E1821">
            <v>560807</v>
          </cell>
          <cell r="F1821" t="str">
            <v>Fair Value</v>
          </cell>
          <cell r="G1821" t="str">
            <v>Executive</v>
          </cell>
        </row>
        <row r="1822">
          <cell r="B1822">
            <v>561306</v>
          </cell>
          <cell r="C1822" t="str">
            <v>FVL-144</v>
          </cell>
          <cell r="D1822" t="str">
            <v>Md. Anower Parvez</v>
          </cell>
          <cell r="E1822">
            <v>561306</v>
          </cell>
          <cell r="F1822" t="str">
            <v>Fair Value</v>
          </cell>
          <cell r="G1822" t="str">
            <v>Assistant Manager</v>
          </cell>
        </row>
        <row r="1823">
          <cell r="B1823">
            <v>561590</v>
          </cell>
          <cell r="C1823" t="str">
            <v>FVL-147</v>
          </cell>
          <cell r="D1823" t="str">
            <v>Md. Mehedi Hasan</v>
          </cell>
          <cell r="E1823">
            <v>561590</v>
          </cell>
          <cell r="F1823" t="str">
            <v>HR</v>
          </cell>
          <cell r="G1823" t="str">
            <v>Executive</v>
          </cell>
        </row>
        <row r="1824">
          <cell r="B1824">
            <v>561938</v>
          </cell>
          <cell r="C1824" t="str">
            <v>FVL-149</v>
          </cell>
          <cell r="D1824" t="str">
            <v>Tasnim Ahmed</v>
          </cell>
          <cell r="E1824">
            <v>561938</v>
          </cell>
          <cell r="F1824" t="str">
            <v>Digital Marketing</v>
          </cell>
          <cell r="G1824" t="str">
            <v>Junior Executive</v>
          </cell>
        </row>
        <row r="1825">
          <cell r="B1825">
            <v>562002</v>
          </cell>
          <cell r="C1825" t="str">
            <v>FVL-150</v>
          </cell>
          <cell r="D1825" t="str">
            <v>Md. Shahalam</v>
          </cell>
          <cell r="E1825">
            <v>562002</v>
          </cell>
          <cell r="F1825" t="str">
            <v>Fair Value</v>
          </cell>
          <cell r="G1825" t="str">
            <v>Executive</v>
          </cell>
        </row>
        <row r="1826">
          <cell r="B1826">
            <v>562559</v>
          </cell>
          <cell r="C1826" t="str">
            <v>FVL-161</v>
          </cell>
          <cell r="D1826" t="str">
            <v>Samira Azmeri</v>
          </cell>
          <cell r="E1826">
            <v>562559</v>
          </cell>
          <cell r="F1826" t="str">
            <v>Digital Marketing</v>
          </cell>
          <cell r="G1826" t="str">
            <v>Senior Executive</v>
          </cell>
        </row>
        <row r="1827">
          <cell r="B1827">
            <v>562656</v>
          </cell>
          <cell r="C1827" t="str">
            <v>FVL-162</v>
          </cell>
          <cell r="D1827" t="str">
            <v>Yeasin Nawaz Almas</v>
          </cell>
          <cell r="E1827">
            <v>562656</v>
          </cell>
          <cell r="F1827" t="str">
            <v>Fair Value</v>
          </cell>
          <cell r="G1827" t="str">
            <v>Executive</v>
          </cell>
        </row>
        <row r="1828">
          <cell r="B1828">
            <v>563050</v>
          </cell>
          <cell r="C1828" t="str">
            <v>FVL-169</v>
          </cell>
          <cell r="D1828" t="str">
            <v>B.M. Rashed</v>
          </cell>
          <cell r="E1828">
            <v>563050</v>
          </cell>
          <cell r="F1828" t="str">
            <v>Fair Value</v>
          </cell>
          <cell r="G1828" t="str">
            <v>Executive</v>
          </cell>
        </row>
        <row r="1829">
          <cell r="B1829">
            <v>563253</v>
          </cell>
          <cell r="C1829" t="str">
            <v>FVL-175</v>
          </cell>
          <cell r="D1829" t="str">
            <v>K M Rasel</v>
          </cell>
          <cell r="E1829">
            <v>563253</v>
          </cell>
          <cell r="F1829" t="str">
            <v>Fair Value</v>
          </cell>
          <cell r="G1829" t="str">
            <v>Senior Executive</v>
          </cell>
        </row>
        <row r="1830">
          <cell r="B1830">
            <v>563283</v>
          </cell>
          <cell r="C1830" t="str">
            <v>FVL-181</v>
          </cell>
          <cell r="D1830" t="str">
            <v>Afzal Sarker</v>
          </cell>
          <cell r="E1830">
            <v>563283</v>
          </cell>
          <cell r="F1830" t="str">
            <v>Fair Value</v>
          </cell>
          <cell r="G1830" t="str">
            <v>Executive</v>
          </cell>
        </row>
        <row r="1831">
          <cell r="B1831">
            <v>563586</v>
          </cell>
          <cell r="C1831" t="str">
            <v>FVL-183</v>
          </cell>
          <cell r="D1831" t="str">
            <v>Md. Unus Ali</v>
          </cell>
          <cell r="E1831">
            <v>563586</v>
          </cell>
          <cell r="F1831" t="str">
            <v>Quality Control</v>
          </cell>
          <cell r="G1831" t="str">
            <v>Junior Executive</v>
          </cell>
        </row>
        <row r="1832">
          <cell r="B1832">
            <v>1333</v>
          </cell>
          <cell r="C1832" t="str">
            <v>R547</v>
          </cell>
          <cell r="D1832" t="str">
            <v>Md. Abidur Rahman</v>
          </cell>
          <cell r="E1832">
            <v>1333</v>
          </cell>
          <cell r="F1832" t="str">
            <v>Market Audit &amp; Business Intelligence</v>
          </cell>
          <cell r="G1832" t="str">
            <v>Manager</v>
          </cell>
        </row>
        <row r="1833">
          <cell r="B1833">
            <v>1707</v>
          </cell>
          <cell r="C1833" t="str">
            <v>R774</v>
          </cell>
          <cell r="D1833" t="str">
            <v>Md. Asaduzzaman Chowdhury</v>
          </cell>
          <cell r="E1833">
            <v>1707</v>
          </cell>
          <cell r="F1833" t="str">
            <v>Store</v>
          </cell>
          <cell r="G1833" t="str">
            <v>Deputy Manager</v>
          </cell>
        </row>
        <row r="1834">
          <cell r="B1834">
            <v>58075</v>
          </cell>
          <cell r="C1834" t="str">
            <v>AFBL(Marketing)-042</v>
          </cell>
          <cell r="D1834" t="str">
            <v>Md. Hakikul Islam</v>
          </cell>
          <cell r="E1834">
            <v>58075</v>
          </cell>
          <cell r="F1834" t="str">
            <v>Distribution</v>
          </cell>
          <cell r="G1834" t="str">
            <v>Senior Executive</v>
          </cell>
        </row>
        <row r="1835">
          <cell r="B1835">
            <v>153286</v>
          </cell>
          <cell r="C1835" t="str">
            <v>AFBL(Marketing)-1830</v>
          </cell>
          <cell r="D1835" t="str">
            <v>Md. Hamim Bin Zaid</v>
          </cell>
          <cell r="E1835">
            <v>153286</v>
          </cell>
          <cell r="F1835" t="str">
            <v>Modern Trade</v>
          </cell>
          <cell r="G1835" t="str">
            <v>Junior Executive</v>
          </cell>
        </row>
        <row r="1836">
          <cell r="B1836">
            <v>170612</v>
          </cell>
          <cell r="C1836" t="str">
            <v>AFBL(Marketing)-1906</v>
          </cell>
          <cell r="D1836" t="str">
            <v>Md. Abdullah Al Awal</v>
          </cell>
          <cell r="E1836">
            <v>170612</v>
          </cell>
          <cell r="F1836" t="str">
            <v>Distribution</v>
          </cell>
          <cell r="G1836" t="str">
            <v>Executive</v>
          </cell>
        </row>
        <row r="1837">
          <cell r="B1837">
            <v>176113</v>
          </cell>
          <cell r="C1837" t="str">
            <v>AFBL(Marketing)-2022</v>
          </cell>
          <cell r="D1837" t="str">
            <v>Md. Ahsan Habib</v>
          </cell>
          <cell r="E1837">
            <v>176113</v>
          </cell>
          <cell r="F1837" t="str">
            <v>Sales &amp; Marketing</v>
          </cell>
          <cell r="G1837" t="str">
            <v>Assistant General Manager</v>
          </cell>
        </row>
        <row r="1838">
          <cell r="B1838">
            <v>177798</v>
          </cell>
          <cell r="C1838" t="str">
            <v>AFBL(Marketing)-2080</v>
          </cell>
          <cell r="D1838" t="str">
            <v>Md. Fayeajul Islam</v>
          </cell>
          <cell r="E1838">
            <v>177798</v>
          </cell>
          <cell r="F1838" t="str">
            <v>Distribution</v>
          </cell>
          <cell r="G1838" t="str">
            <v>Assistant Manager</v>
          </cell>
        </row>
        <row r="1839">
          <cell r="B1839">
            <v>204848</v>
          </cell>
          <cell r="C1839" t="str">
            <v>AFBL(Marketing)-2390</v>
          </cell>
          <cell r="D1839" t="str">
            <v>Rezaul Karim</v>
          </cell>
          <cell r="E1839">
            <v>204848</v>
          </cell>
          <cell r="F1839" t="str">
            <v>Operations</v>
          </cell>
          <cell r="G1839" t="str">
            <v>Sr. General Manager</v>
          </cell>
        </row>
        <row r="1840">
          <cell r="B1840">
            <v>466280</v>
          </cell>
          <cell r="C1840" t="str">
            <v>R2332</v>
          </cell>
          <cell r="D1840" t="str">
            <v>Md. Aurangojeb</v>
          </cell>
          <cell r="E1840">
            <v>466280</v>
          </cell>
          <cell r="F1840" t="str">
            <v>Accounts And Finance</v>
          </cell>
          <cell r="G1840" t="str">
            <v>Assistant Manager</v>
          </cell>
        </row>
        <row r="1841">
          <cell r="B1841">
            <v>472515</v>
          </cell>
          <cell r="C1841" t="str">
            <v>AFBL(Marketing)-5095</v>
          </cell>
          <cell r="D1841" t="str">
            <v>Md. Nirob Hossain</v>
          </cell>
          <cell r="E1841">
            <v>472515</v>
          </cell>
          <cell r="F1841" t="str">
            <v>Sales &amp; Marketing</v>
          </cell>
          <cell r="G1841" t="str">
            <v>Area Sales Manager</v>
          </cell>
        </row>
        <row r="1842">
          <cell r="B1842">
            <v>478255</v>
          </cell>
          <cell r="C1842" t="str">
            <v>R2455</v>
          </cell>
          <cell r="D1842" t="str">
            <v>Abdullah Al Mamun</v>
          </cell>
          <cell r="E1842">
            <v>478255</v>
          </cell>
          <cell r="F1842" t="str">
            <v>Trade Marketing</v>
          </cell>
          <cell r="G1842" t="str">
            <v>Executive</v>
          </cell>
        </row>
        <row r="1843">
          <cell r="B1843">
            <v>525700</v>
          </cell>
          <cell r="C1843" t="str">
            <v>AMPL-R03</v>
          </cell>
          <cell r="D1843" t="str">
            <v>Nazmus Sakib</v>
          </cell>
          <cell r="E1843">
            <v>525700</v>
          </cell>
          <cell r="F1843" t="str">
            <v>Publication</v>
          </cell>
          <cell r="G1843" t="str">
            <v>Executive</v>
          </cell>
        </row>
        <row r="1844">
          <cell r="B1844">
            <v>525914</v>
          </cell>
          <cell r="C1844" t="str">
            <v>AMP-R04</v>
          </cell>
          <cell r="D1844" t="str">
            <v>Md. Mijanur Rahman</v>
          </cell>
          <cell r="E1844">
            <v>525914</v>
          </cell>
          <cell r="F1844" t="str">
            <v>Publication</v>
          </cell>
          <cell r="G1844" t="str">
            <v>Assistant Manager</v>
          </cell>
        </row>
        <row r="1845">
          <cell r="B1845">
            <v>529005</v>
          </cell>
          <cell r="C1845" t="str">
            <v>AHHL-19</v>
          </cell>
          <cell r="D1845" t="str">
            <v>Md. Monzurul Ehsan</v>
          </cell>
          <cell r="E1845">
            <v>529005</v>
          </cell>
          <cell r="F1845" t="str">
            <v>Sales</v>
          </cell>
          <cell r="G1845" t="str">
            <v>Regional Sales Manager</v>
          </cell>
        </row>
        <row r="1846">
          <cell r="B1846">
            <v>529006</v>
          </cell>
          <cell r="C1846" t="str">
            <v>AHHL-20</v>
          </cell>
          <cell r="D1846" t="str">
            <v>Md. A Quddus</v>
          </cell>
          <cell r="E1846">
            <v>529006</v>
          </cell>
          <cell r="F1846" t="str">
            <v>Sales</v>
          </cell>
          <cell r="G1846" t="str">
            <v>Area Sales Manager</v>
          </cell>
        </row>
        <row r="1847">
          <cell r="B1847">
            <v>529007</v>
          </cell>
          <cell r="C1847" t="str">
            <v>AHHL-21</v>
          </cell>
          <cell r="D1847" t="str">
            <v>Abul Hasan</v>
          </cell>
          <cell r="E1847">
            <v>529007</v>
          </cell>
          <cell r="F1847" t="str">
            <v>Sales</v>
          </cell>
          <cell r="G1847" t="str">
            <v>Area Sales Manager</v>
          </cell>
        </row>
        <row r="1848">
          <cell r="B1848">
            <v>529209</v>
          </cell>
          <cell r="C1848" t="str">
            <v>APML-14</v>
          </cell>
          <cell r="D1848" t="str">
            <v>Mr. Sapan Kumar Shaha</v>
          </cell>
          <cell r="E1848">
            <v>529209</v>
          </cell>
          <cell r="F1848" t="str">
            <v>Distribution</v>
          </cell>
          <cell r="G1848" t="str">
            <v>Manager</v>
          </cell>
        </row>
        <row r="1849">
          <cell r="B1849">
            <v>529343</v>
          </cell>
          <cell r="C1849" t="str">
            <v>AVL-R58</v>
          </cell>
          <cell r="D1849" t="str">
            <v>Mohd. Tasneem Choudhury</v>
          </cell>
          <cell r="E1849">
            <v>529343</v>
          </cell>
          <cell r="F1849" t="str">
            <v>Brand</v>
          </cell>
          <cell r="G1849" t="str">
            <v>Deputy Manager</v>
          </cell>
        </row>
        <row r="1850">
          <cell r="B1850">
            <v>529354</v>
          </cell>
          <cell r="C1850" t="str">
            <v>AVL-R69</v>
          </cell>
          <cell r="D1850" t="str">
            <v>Mohammad Yeasin Ullah</v>
          </cell>
          <cell r="E1850">
            <v>529354</v>
          </cell>
          <cell r="F1850" t="str">
            <v>Brand</v>
          </cell>
          <cell r="G1850" t="str">
            <v>Assistant Manager</v>
          </cell>
        </row>
        <row r="1851">
          <cell r="B1851">
            <v>529517</v>
          </cell>
          <cell r="C1851" t="str">
            <v>AVL-72</v>
          </cell>
          <cell r="D1851" t="str">
            <v>Rasel Rana</v>
          </cell>
          <cell r="E1851">
            <v>529517</v>
          </cell>
          <cell r="F1851" t="str">
            <v>Civil</v>
          </cell>
          <cell r="G1851" t="str">
            <v>Executive</v>
          </cell>
        </row>
        <row r="1852">
          <cell r="B1852">
            <v>529578</v>
          </cell>
          <cell r="C1852" t="str">
            <v>AHHL-33</v>
          </cell>
          <cell r="D1852" t="str">
            <v>A K M Anowarul Haque</v>
          </cell>
          <cell r="E1852">
            <v>529578</v>
          </cell>
          <cell r="F1852" t="str">
            <v>Sales</v>
          </cell>
          <cell r="G1852" t="str">
            <v>Regional Sales Manager</v>
          </cell>
        </row>
        <row r="1853">
          <cell r="B1853">
            <v>529579</v>
          </cell>
          <cell r="C1853" t="str">
            <v>AHHL-34</v>
          </cell>
          <cell r="D1853" t="str">
            <v>Md Rakibul Islam</v>
          </cell>
          <cell r="E1853">
            <v>529579</v>
          </cell>
          <cell r="F1853" t="str">
            <v>Sales</v>
          </cell>
          <cell r="G1853" t="str">
            <v>Area Sales Manager</v>
          </cell>
        </row>
        <row r="1854">
          <cell r="B1854">
            <v>529581</v>
          </cell>
          <cell r="C1854" t="str">
            <v>AHHL-36</v>
          </cell>
          <cell r="D1854" t="str">
            <v>Md. Sohel Rana</v>
          </cell>
          <cell r="E1854">
            <v>529581</v>
          </cell>
          <cell r="F1854" t="str">
            <v>Sales</v>
          </cell>
          <cell r="G1854" t="str">
            <v>Territory Sales Manager</v>
          </cell>
        </row>
        <row r="1855">
          <cell r="B1855">
            <v>529701</v>
          </cell>
          <cell r="C1855" t="str">
            <v>AVL-78</v>
          </cell>
          <cell r="D1855" t="str">
            <v>Marid Hasan</v>
          </cell>
          <cell r="E1855">
            <v>529701</v>
          </cell>
          <cell r="F1855" t="str">
            <v>Internal Audit &amp; Compliance</v>
          </cell>
          <cell r="G1855" t="str">
            <v>Executive</v>
          </cell>
        </row>
        <row r="1856">
          <cell r="B1856">
            <v>529714</v>
          </cell>
          <cell r="C1856" t="str">
            <v>AHHL-60</v>
          </cell>
          <cell r="D1856" t="str">
            <v>Biplab Chandra Bishwas</v>
          </cell>
          <cell r="E1856">
            <v>529714</v>
          </cell>
          <cell r="F1856" t="str">
            <v>Sales</v>
          </cell>
          <cell r="G1856" t="str">
            <v>Territory Sales Manager</v>
          </cell>
        </row>
        <row r="1857">
          <cell r="B1857">
            <v>529715</v>
          </cell>
          <cell r="C1857" t="str">
            <v>AHHL-61</v>
          </cell>
          <cell r="D1857" t="str">
            <v>Md. Samsul Alam</v>
          </cell>
          <cell r="E1857">
            <v>529715</v>
          </cell>
          <cell r="F1857" t="str">
            <v>Sales</v>
          </cell>
          <cell r="G1857" t="str">
            <v>Area Sales Manager</v>
          </cell>
        </row>
        <row r="1858">
          <cell r="B1858">
            <v>529863</v>
          </cell>
          <cell r="C1858" t="str">
            <v>AHHL-69</v>
          </cell>
          <cell r="D1858" t="str">
            <v>Kazi Hafijur Rahman</v>
          </cell>
          <cell r="E1858">
            <v>529863</v>
          </cell>
          <cell r="F1858" t="str">
            <v>Sales</v>
          </cell>
          <cell r="G1858" t="str">
            <v>Territory Sales Manager</v>
          </cell>
        </row>
        <row r="1859">
          <cell r="B1859">
            <v>529977</v>
          </cell>
          <cell r="C1859" t="str">
            <v>AHHL-89</v>
          </cell>
          <cell r="D1859" t="str">
            <v>Md. Abdus Salam</v>
          </cell>
          <cell r="E1859">
            <v>529977</v>
          </cell>
          <cell r="F1859" t="str">
            <v>Sales</v>
          </cell>
          <cell r="G1859" t="str">
            <v>Regional Sales Manager</v>
          </cell>
        </row>
        <row r="1860">
          <cell r="B1860">
            <v>530505</v>
          </cell>
          <cell r="C1860" t="str">
            <v>AHHL-146</v>
          </cell>
          <cell r="D1860" t="str">
            <v>Md. Shahin Azad Khan</v>
          </cell>
          <cell r="E1860">
            <v>530505</v>
          </cell>
          <cell r="F1860" t="str">
            <v>Sales</v>
          </cell>
          <cell r="G1860" t="str">
            <v>Territory Sales Manager</v>
          </cell>
        </row>
        <row r="1861">
          <cell r="B1861">
            <v>530648</v>
          </cell>
          <cell r="C1861" t="str">
            <v>AHHL-161</v>
          </cell>
          <cell r="D1861" t="str">
            <v>Md. Murad Hossain</v>
          </cell>
          <cell r="E1861">
            <v>530648</v>
          </cell>
          <cell r="F1861" t="str">
            <v>Sales</v>
          </cell>
          <cell r="G1861" t="str">
            <v>Territory Sales Manager</v>
          </cell>
        </row>
        <row r="1862">
          <cell r="B1862">
            <v>530689</v>
          </cell>
          <cell r="C1862" t="str">
            <v>AHHL-168</v>
          </cell>
          <cell r="D1862" t="str">
            <v>Tit Tonmoy Sarkar</v>
          </cell>
          <cell r="E1862">
            <v>530689</v>
          </cell>
          <cell r="F1862" t="str">
            <v>Sales</v>
          </cell>
          <cell r="G1862" t="str">
            <v>Territory Sales Manager</v>
          </cell>
        </row>
        <row r="1863">
          <cell r="B1863">
            <v>530690</v>
          </cell>
          <cell r="C1863" t="str">
            <v>AHHL-169</v>
          </cell>
          <cell r="D1863" t="str">
            <v>Md. Abdul Gaffar</v>
          </cell>
          <cell r="E1863">
            <v>530690</v>
          </cell>
          <cell r="F1863" t="str">
            <v>Product Development and Quality Control</v>
          </cell>
          <cell r="G1863" t="str">
            <v>Assistant General Manager</v>
          </cell>
        </row>
        <row r="1864">
          <cell r="B1864">
            <v>531055</v>
          </cell>
          <cell r="C1864" t="str">
            <v>AHHL-210</v>
          </cell>
          <cell r="D1864" t="str">
            <v>Md. Ariful Kabir Jewel</v>
          </cell>
          <cell r="E1864">
            <v>531055</v>
          </cell>
          <cell r="F1864" t="str">
            <v>Sales</v>
          </cell>
          <cell r="G1864" t="str">
            <v>Area Sales Manager</v>
          </cell>
        </row>
        <row r="1865">
          <cell r="B1865">
            <v>531060</v>
          </cell>
          <cell r="C1865" t="str">
            <v>AHHL-215</v>
          </cell>
          <cell r="D1865" t="str">
            <v>Md. Shariful Islam</v>
          </cell>
          <cell r="E1865">
            <v>531060</v>
          </cell>
          <cell r="F1865" t="str">
            <v>Sales</v>
          </cell>
          <cell r="G1865" t="str">
            <v>Territory Sales Manager</v>
          </cell>
        </row>
        <row r="1866">
          <cell r="B1866">
            <v>531061</v>
          </cell>
          <cell r="C1866" t="str">
            <v>AHHL-216</v>
          </cell>
          <cell r="D1866" t="str">
            <v>Tohidul Islam</v>
          </cell>
          <cell r="E1866">
            <v>531061</v>
          </cell>
          <cell r="F1866" t="str">
            <v>Sales</v>
          </cell>
          <cell r="G1866" t="str">
            <v>Area Sales Manager</v>
          </cell>
        </row>
        <row r="1867">
          <cell r="B1867">
            <v>531224</v>
          </cell>
          <cell r="C1867" t="str">
            <v>AHHL-238</v>
          </cell>
          <cell r="D1867" t="str">
            <v>Md. Ariful Islam</v>
          </cell>
          <cell r="E1867">
            <v>531224</v>
          </cell>
          <cell r="F1867" t="str">
            <v>Sales</v>
          </cell>
          <cell r="G1867" t="str">
            <v>Area Sales Manager</v>
          </cell>
        </row>
        <row r="1868">
          <cell r="B1868">
            <v>531225</v>
          </cell>
          <cell r="C1868" t="str">
            <v>AHHL-239</v>
          </cell>
          <cell r="D1868" t="str">
            <v>Md. Mamunur Rashid</v>
          </cell>
          <cell r="E1868">
            <v>531225</v>
          </cell>
          <cell r="F1868" t="str">
            <v>Sales</v>
          </cell>
          <cell r="G1868" t="str">
            <v>Regional Sales Manager</v>
          </cell>
        </row>
        <row r="1869">
          <cell r="B1869">
            <v>531227</v>
          </cell>
          <cell r="C1869" t="str">
            <v>AHHL-241</v>
          </cell>
          <cell r="D1869" t="str">
            <v>Md. Mash Hudur Rahman</v>
          </cell>
          <cell r="E1869">
            <v>531227</v>
          </cell>
          <cell r="F1869" t="str">
            <v>Sales</v>
          </cell>
          <cell r="G1869" t="str">
            <v>Area Sales Manager</v>
          </cell>
        </row>
        <row r="1870">
          <cell r="B1870">
            <v>531437</v>
          </cell>
          <cell r="C1870" t="str">
            <v>AVL-100</v>
          </cell>
          <cell r="D1870" t="str">
            <v>Md. Aliur Rahman</v>
          </cell>
          <cell r="E1870">
            <v>531437</v>
          </cell>
          <cell r="F1870" t="str">
            <v>Accounts And Finance</v>
          </cell>
          <cell r="G1870" t="str">
            <v>Senior Executive</v>
          </cell>
        </row>
        <row r="1871">
          <cell r="B1871">
            <v>533321</v>
          </cell>
          <cell r="C1871" t="str">
            <v>AHHL-390</v>
          </cell>
          <cell r="D1871" t="str">
            <v>Obaidullah</v>
          </cell>
          <cell r="E1871">
            <v>533321</v>
          </cell>
          <cell r="F1871" t="str">
            <v>Sales</v>
          </cell>
          <cell r="G1871" t="str">
            <v>Territory Sales Manager</v>
          </cell>
        </row>
        <row r="1872">
          <cell r="B1872">
            <v>533497</v>
          </cell>
          <cell r="C1872" t="str">
            <v>AHHL-415</v>
          </cell>
          <cell r="D1872" t="str">
            <v>Md. Mejbah Uddin</v>
          </cell>
          <cell r="E1872">
            <v>533497</v>
          </cell>
          <cell r="F1872" t="str">
            <v>Sales</v>
          </cell>
          <cell r="G1872" t="str">
            <v>Territory Sales Manager</v>
          </cell>
        </row>
        <row r="1873">
          <cell r="B1873">
            <v>533652</v>
          </cell>
          <cell r="C1873" t="str">
            <v>AHHL-449</v>
          </cell>
          <cell r="D1873" t="str">
            <v>Md. Anamul Haque</v>
          </cell>
          <cell r="E1873">
            <v>533652</v>
          </cell>
          <cell r="F1873" t="str">
            <v>Sales</v>
          </cell>
          <cell r="G1873" t="str">
            <v>Territory Sales Manager</v>
          </cell>
        </row>
        <row r="1874">
          <cell r="B1874">
            <v>533884</v>
          </cell>
          <cell r="C1874" t="str">
            <v>AVL-109</v>
          </cell>
          <cell r="D1874" t="str">
            <v>Md. Abul Hasanat</v>
          </cell>
          <cell r="E1874">
            <v>533884</v>
          </cell>
          <cell r="F1874" t="str">
            <v>Publication</v>
          </cell>
          <cell r="G1874" t="str">
            <v>Senior Executive</v>
          </cell>
        </row>
        <row r="1875">
          <cell r="B1875">
            <v>533909</v>
          </cell>
          <cell r="C1875" t="str">
            <v>AHHL-453</v>
          </cell>
          <cell r="D1875" t="str">
            <v>Md. Robin Hasan</v>
          </cell>
          <cell r="E1875">
            <v>533909</v>
          </cell>
          <cell r="F1875" t="str">
            <v>Sales</v>
          </cell>
          <cell r="G1875" t="str">
            <v>Territory Sales Manager</v>
          </cell>
        </row>
        <row r="1876">
          <cell r="B1876">
            <v>533910</v>
          </cell>
          <cell r="C1876" t="str">
            <v>AHHL-454</v>
          </cell>
          <cell r="D1876" t="str">
            <v>Md. Abdullah Al Mamun</v>
          </cell>
          <cell r="E1876">
            <v>533910</v>
          </cell>
          <cell r="F1876" t="str">
            <v>Sales</v>
          </cell>
          <cell r="G1876" t="str">
            <v>Territory Sales Manager</v>
          </cell>
        </row>
        <row r="1877">
          <cell r="B1877">
            <v>533912</v>
          </cell>
          <cell r="C1877" t="str">
            <v>AHHL-456</v>
          </cell>
          <cell r="D1877" t="str">
            <v>Md. Farhad Hossen</v>
          </cell>
          <cell r="E1877">
            <v>533912</v>
          </cell>
          <cell r="F1877" t="str">
            <v>Sales</v>
          </cell>
          <cell r="G1877" t="str">
            <v>Territory Sales Manager</v>
          </cell>
        </row>
        <row r="1878">
          <cell r="B1878">
            <v>533916</v>
          </cell>
          <cell r="C1878" t="str">
            <v>AHHL-459</v>
          </cell>
          <cell r="D1878" t="str">
            <v>Kaium Khandakar</v>
          </cell>
          <cell r="E1878">
            <v>533916</v>
          </cell>
          <cell r="F1878" t="str">
            <v>Sales Admin</v>
          </cell>
          <cell r="G1878" t="str">
            <v>Senior Executive</v>
          </cell>
        </row>
        <row r="1879">
          <cell r="B1879">
            <v>535398</v>
          </cell>
          <cell r="C1879" t="str">
            <v>AHHL-544</v>
          </cell>
          <cell r="D1879" t="str">
            <v>Md Yousuf Ali</v>
          </cell>
          <cell r="E1879">
            <v>535398</v>
          </cell>
          <cell r="F1879" t="str">
            <v>Sales</v>
          </cell>
          <cell r="G1879" t="str">
            <v>Territory Sales Manager</v>
          </cell>
        </row>
        <row r="1880">
          <cell r="B1880">
            <v>535506</v>
          </cell>
          <cell r="C1880" t="str">
            <v>AHHL-566</v>
          </cell>
          <cell r="D1880" t="str">
            <v>Shiekh Emdadul Hossain</v>
          </cell>
          <cell r="E1880">
            <v>535506</v>
          </cell>
          <cell r="F1880" t="str">
            <v>Sales</v>
          </cell>
          <cell r="G1880" t="str">
            <v>Area Sales Manager</v>
          </cell>
        </row>
        <row r="1881">
          <cell r="B1881">
            <v>535798</v>
          </cell>
          <cell r="C1881" t="str">
            <v>AHHL-579</v>
          </cell>
          <cell r="D1881" t="str">
            <v>Md. Nuruzzaman Chowdhury</v>
          </cell>
          <cell r="E1881">
            <v>535798</v>
          </cell>
          <cell r="F1881" t="str">
            <v>Plant Operation</v>
          </cell>
          <cell r="G1881" t="str">
            <v>Deputy General Manager</v>
          </cell>
        </row>
        <row r="1882">
          <cell r="B1882">
            <v>536136</v>
          </cell>
          <cell r="C1882" t="str">
            <v>AHHL-632</v>
          </cell>
          <cell r="D1882" t="str">
            <v>Md. Masud Mia</v>
          </cell>
          <cell r="E1882">
            <v>536136</v>
          </cell>
          <cell r="F1882" t="str">
            <v>Sales</v>
          </cell>
          <cell r="G1882" t="str">
            <v>Territory Sales Manager</v>
          </cell>
        </row>
        <row r="1883">
          <cell r="B1883">
            <v>536397</v>
          </cell>
          <cell r="C1883" t="str">
            <v>AHHL-667</v>
          </cell>
          <cell r="D1883" t="str">
            <v>Md. Nazrul Islam</v>
          </cell>
          <cell r="E1883">
            <v>536397</v>
          </cell>
          <cell r="F1883" t="str">
            <v>Sales</v>
          </cell>
          <cell r="G1883" t="str">
            <v>Territory Sales Manager</v>
          </cell>
        </row>
        <row r="1884">
          <cell r="B1884">
            <v>537012</v>
          </cell>
          <cell r="C1884" t="str">
            <v>AHHL-748</v>
          </cell>
          <cell r="D1884" t="str">
            <v>Md. Rezaul Karim</v>
          </cell>
          <cell r="E1884">
            <v>537012</v>
          </cell>
          <cell r="F1884" t="str">
            <v>Sales</v>
          </cell>
          <cell r="G1884" t="str">
            <v>Territory Sales Manager</v>
          </cell>
        </row>
        <row r="1885">
          <cell r="B1885">
            <v>537214</v>
          </cell>
          <cell r="C1885" t="str">
            <v>AHHL-765</v>
          </cell>
          <cell r="D1885" t="str">
            <v>Md. Rakib Hossain</v>
          </cell>
          <cell r="E1885">
            <v>537214</v>
          </cell>
          <cell r="F1885" t="str">
            <v>Quality Control</v>
          </cell>
          <cell r="G1885" t="str">
            <v>Executive</v>
          </cell>
        </row>
        <row r="1886">
          <cell r="B1886">
            <v>537327</v>
          </cell>
          <cell r="C1886" t="str">
            <v>AHHL-784</v>
          </cell>
          <cell r="D1886" t="str">
            <v>Md. Sahabuddin</v>
          </cell>
          <cell r="E1886">
            <v>537327</v>
          </cell>
          <cell r="F1886" t="str">
            <v>Sales</v>
          </cell>
          <cell r="G1886" t="str">
            <v>Territory Sales Manager</v>
          </cell>
        </row>
        <row r="1887">
          <cell r="B1887">
            <v>537445</v>
          </cell>
          <cell r="C1887" t="str">
            <v>AHHL-788</v>
          </cell>
          <cell r="D1887" t="str">
            <v>Md. Jiban Mia</v>
          </cell>
          <cell r="E1887">
            <v>537445</v>
          </cell>
          <cell r="F1887" t="str">
            <v>Quality Control</v>
          </cell>
          <cell r="G1887" t="str">
            <v>Executive</v>
          </cell>
        </row>
        <row r="1888">
          <cell r="B1888">
            <v>537504</v>
          </cell>
          <cell r="C1888" t="str">
            <v>AHHL-790</v>
          </cell>
          <cell r="D1888" t="str">
            <v>Md. Anowarul Hafiz</v>
          </cell>
          <cell r="E1888">
            <v>537504</v>
          </cell>
          <cell r="F1888" t="str">
            <v>Sales</v>
          </cell>
          <cell r="G1888" t="str">
            <v>Territory Sales Manager</v>
          </cell>
        </row>
        <row r="1889">
          <cell r="B1889">
            <v>537563</v>
          </cell>
          <cell r="C1889" t="str">
            <v>AHHL-821</v>
          </cell>
          <cell r="D1889" t="str">
            <v>Hasan Hafizur Rahaman</v>
          </cell>
          <cell r="E1889">
            <v>537563</v>
          </cell>
          <cell r="F1889" t="str">
            <v>Sales</v>
          </cell>
          <cell r="G1889" t="str">
            <v>Territory Sales Manager</v>
          </cell>
        </row>
        <row r="1890">
          <cell r="B1890">
            <v>537750</v>
          </cell>
          <cell r="C1890" t="str">
            <v>AHHL-833</v>
          </cell>
          <cell r="D1890" t="str">
            <v>Md. Rashedul Islam</v>
          </cell>
          <cell r="E1890">
            <v>537750</v>
          </cell>
          <cell r="F1890" t="str">
            <v>Product Development and Quality Control</v>
          </cell>
          <cell r="G1890" t="str">
            <v>Assistant Manager</v>
          </cell>
        </row>
        <row r="1891">
          <cell r="B1891">
            <v>537782</v>
          </cell>
          <cell r="C1891" t="str">
            <v>AHHL-834</v>
          </cell>
          <cell r="D1891" t="str">
            <v>Md. Golam Asad</v>
          </cell>
          <cell r="E1891">
            <v>537782</v>
          </cell>
          <cell r="F1891" t="str">
            <v>Sales</v>
          </cell>
          <cell r="G1891" t="str">
            <v>Territory Sales Manager</v>
          </cell>
        </row>
        <row r="1892">
          <cell r="B1892">
            <v>537797</v>
          </cell>
          <cell r="C1892" t="str">
            <v>AHHL-845</v>
          </cell>
          <cell r="D1892" t="str">
            <v>Md. Rasadul Islam</v>
          </cell>
          <cell r="E1892">
            <v>537797</v>
          </cell>
          <cell r="F1892" t="str">
            <v>Sales</v>
          </cell>
          <cell r="G1892" t="str">
            <v>Territory Sales Manager</v>
          </cell>
        </row>
        <row r="1893">
          <cell r="B1893">
            <v>537850</v>
          </cell>
          <cell r="C1893" t="str">
            <v>AHHL-856</v>
          </cell>
          <cell r="D1893" t="str">
            <v>Md. Aktar Hossain</v>
          </cell>
          <cell r="E1893">
            <v>537850</v>
          </cell>
          <cell r="F1893" t="str">
            <v>Sales</v>
          </cell>
          <cell r="G1893" t="str">
            <v>Territory Sales Manager</v>
          </cell>
        </row>
        <row r="1894">
          <cell r="B1894">
            <v>537881</v>
          </cell>
          <cell r="C1894" t="str">
            <v>AHHL-860</v>
          </cell>
          <cell r="D1894" t="str">
            <v>Emroj Mahmud</v>
          </cell>
          <cell r="E1894">
            <v>537881</v>
          </cell>
          <cell r="F1894" t="str">
            <v>Supply Chain</v>
          </cell>
          <cell r="G1894" t="str">
            <v>Assistant Manager</v>
          </cell>
        </row>
        <row r="1895">
          <cell r="B1895">
            <v>538044</v>
          </cell>
          <cell r="C1895" t="str">
            <v>AHHL-893</v>
          </cell>
          <cell r="D1895" t="str">
            <v>Md. Abdus Sobhan</v>
          </cell>
          <cell r="E1895">
            <v>538044</v>
          </cell>
          <cell r="F1895" t="str">
            <v>Sales</v>
          </cell>
          <cell r="G1895" t="str">
            <v>Regional Sales Manager</v>
          </cell>
        </row>
        <row r="1896">
          <cell r="B1896">
            <v>538620</v>
          </cell>
          <cell r="C1896" t="str">
            <v>AHHL-966</v>
          </cell>
          <cell r="D1896" t="str">
            <v>Md Rumanuzzaman</v>
          </cell>
          <cell r="E1896">
            <v>538620</v>
          </cell>
          <cell r="F1896" t="str">
            <v>Sales</v>
          </cell>
          <cell r="G1896" t="str">
            <v>Territory Sales Manager</v>
          </cell>
        </row>
        <row r="1897">
          <cell r="B1897">
            <v>538636</v>
          </cell>
          <cell r="C1897" t="str">
            <v>AHHL-977</v>
          </cell>
          <cell r="D1897" t="str">
            <v>Md Abu Jafor</v>
          </cell>
          <cell r="E1897">
            <v>538636</v>
          </cell>
          <cell r="F1897" t="str">
            <v>Sales</v>
          </cell>
          <cell r="G1897" t="str">
            <v>Territory Sales Manager</v>
          </cell>
        </row>
        <row r="1898">
          <cell r="B1898">
            <v>538742</v>
          </cell>
          <cell r="C1898" t="str">
            <v>AHHL(F)-01</v>
          </cell>
          <cell r="D1898" t="str">
            <v>Mezbaul Alam</v>
          </cell>
          <cell r="E1898">
            <v>538742</v>
          </cell>
          <cell r="F1898" t="str">
            <v>Production (Diaper &amp; Napkin)</v>
          </cell>
          <cell r="G1898" t="str">
            <v>Executive</v>
          </cell>
        </row>
        <row r="1899">
          <cell r="B1899">
            <v>538743</v>
          </cell>
          <cell r="C1899" t="str">
            <v>AHHL(F)-02</v>
          </cell>
          <cell r="D1899" t="str">
            <v>Eyascin Miah</v>
          </cell>
          <cell r="E1899">
            <v>538743</v>
          </cell>
          <cell r="F1899" t="str">
            <v>Production (Diaper &amp; Napkin)</v>
          </cell>
          <cell r="G1899" t="str">
            <v>Executive</v>
          </cell>
        </row>
        <row r="1900">
          <cell r="B1900">
            <v>538744</v>
          </cell>
          <cell r="C1900" t="str">
            <v>AHHL-999</v>
          </cell>
          <cell r="D1900" t="str">
            <v>Shawrup Ranjan Bhowmick</v>
          </cell>
          <cell r="E1900">
            <v>538744</v>
          </cell>
          <cell r="F1900" t="str">
            <v>Production Planning and Inventory Control</v>
          </cell>
          <cell r="G1900" t="str">
            <v>Assistant Manager</v>
          </cell>
        </row>
        <row r="1901">
          <cell r="B1901">
            <v>538850</v>
          </cell>
          <cell r="C1901" t="str">
            <v>AHHL(F)-07</v>
          </cell>
          <cell r="D1901" t="str">
            <v>Md.Ismail</v>
          </cell>
          <cell r="E1901">
            <v>538850</v>
          </cell>
          <cell r="F1901" t="str">
            <v>Production Planning and Inventory Control</v>
          </cell>
          <cell r="G1901" t="str">
            <v>Executive</v>
          </cell>
        </row>
        <row r="1902">
          <cell r="B1902">
            <v>539435</v>
          </cell>
          <cell r="C1902" t="str">
            <v>AHHL(F)-11</v>
          </cell>
          <cell r="D1902" t="str">
            <v>Md.Noman Ali</v>
          </cell>
          <cell r="E1902">
            <v>539435</v>
          </cell>
          <cell r="F1902" t="str">
            <v>Quality Control</v>
          </cell>
          <cell r="G1902" t="str">
            <v>Senior Executive</v>
          </cell>
        </row>
        <row r="1903">
          <cell r="B1903">
            <v>539750</v>
          </cell>
          <cell r="C1903" t="str">
            <v>AHHL-1090</v>
          </cell>
          <cell r="D1903" t="str">
            <v>Samiha Gulshan Ara</v>
          </cell>
          <cell r="E1903">
            <v>539750</v>
          </cell>
          <cell r="F1903" t="str">
            <v>HR</v>
          </cell>
          <cell r="G1903" t="str">
            <v>Executive</v>
          </cell>
        </row>
        <row r="1904">
          <cell r="B1904">
            <v>540042</v>
          </cell>
          <cell r="C1904" t="str">
            <v>AHHL-1135</v>
          </cell>
          <cell r="D1904" t="str">
            <v>Mohammad Aslam Uddin</v>
          </cell>
          <cell r="E1904">
            <v>540042</v>
          </cell>
          <cell r="F1904" t="str">
            <v>Sales Admin</v>
          </cell>
          <cell r="G1904" t="str">
            <v>Assistant Manager</v>
          </cell>
        </row>
        <row r="1905">
          <cell r="B1905">
            <v>540608</v>
          </cell>
          <cell r="C1905" t="str">
            <v>AHHL-1185</v>
          </cell>
          <cell r="D1905" t="str">
            <v xml:space="preserve">Md. Ariful Haque </v>
          </cell>
          <cell r="E1905">
            <v>540608</v>
          </cell>
          <cell r="F1905" t="str">
            <v>Product Development and Quality Control</v>
          </cell>
          <cell r="G1905" t="str">
            <v>Executive</v>
          </cell>
        </row>
        <row r="1906">
          <cell r="B1906">
            <v>540609</v>
          </cell>
          <cell r="C1906" t="str">
            <v>AHHL-1186</v>
          </cell>
          <cell r="D1906" t="str">
            <v>Abdus Sattar</v>
          </cell>
          <cell r="E1906">
            <v>540609</v>
          </cell>
          <cell r="F1906" t="str">
            <v>Quality Control</v>
          </cell>
          <cell r="G1906" t="str">
            <v>Senior Executive</v>
          </cell>
        </row>
        <row r="1907">
          <cell r="B1907">
            <v>540614</v>
          </cell>
          <cell r="C1907" t="str">
            <v>AHHL-1187</v>
          </cell>
          <cell r="D1907" t="str">
            <v>M. Salim Reza</v>
          </cell>
          <cell r="E1907">
            <v>540614</v>
          </cell>
          <cell r="F1907" t="str">
            <v>Production</v>
          </cell>
          <cell r="G1907" t="str">
            <v>Deputy Manager</v>
          </cell>
        </row>
        <row r="1908">
          <cell r="B1908">
            <v>540920</v>
          </cell>
          <cell r="C1908" t="str">
            <v>AHHL-1211</v>
          </cell>
          <cell r="D1908" t="str">
            <v>Md. Ziaul Karim</v>
          </cell>
          <cell r="E1908">
            <v>540920</v>
          </cell>
          <cell r="F1908" t="str">
            <v>Institutional Sales</v>
          </cell>
          <cell r="G1908" t="str">
            <v>Executive</v>
          </cell>
        </row>
        <row r="1909">
          <cell r="B1909">
            <v>540968</v>
          </cell>
          <cell r="C1909" t="str">
            <v>AHHL-1212</v>
          </cell>
          <cell r="D1909" t="str">
            <v>Md. Imran Shaik</v>
          </cell>
          <cell r="E1909">
            <v>540968</v>
          </cell>
          <cell r="F1909" t="str">
            <v>Sales</v>
          </cell>
          <cell r="G1909" t="str">
            <v>Territory Sales Manager</v>
          </cell>
        </row>
        <row r="1910">
          <cell r="B1910">
            <v>540974</v>
          </cell>
          <cell r="C1910" t="str">
            <v>AHHL-1218</v>
          </cell>
          <cell r="D1910" t="str">
            <v>Subrata Sarkar</v>
          </cell>
          <cell r="E1910">
            <v>540974</v>
          </cell>
          <cell r="F1910" t="str">
            <v>Sales</v>
          </cell>
          <cell r="G1910" t="str">
            <v>Territory Sales Manager</v>
          </cell>
        </row>
        <row r="1911">
          <cell r="B1911">
            <v>541017</v>
          </cell>
          <cell r="C1911" t="str">
            <v>AHHL-1237</v>
          </cell>
          <cell r="D1911" t="str">
            <v>Mohammed Yeasin</v>
          </cell>
          <cell r="E1911">
            <v>541017</v>
          </cell>
          <cell r="F1911" t="str">
            <v>Sales</v>
          </cell>
          <cell r="G1911" t="str">
            <v>Territory Sales Manager</v>
          </cell>
        </row>
        <row r="1912">
          <cell r="B1912">
            <v>541021</v>
          </cell>
          <cell r="C1912" t="str">
            <v>AHHL-1244</v>
          </cell>
          <cell r="D1912" t="str">
            <v>Arman Ahmed</v>
          </cell>
          <cell r="E1912">
            <v>541021</v>
          </cell>
          <cell r="F1912" t="str">
            <v>Institutional Sales</v>
          </cell>
          <cell r="G1912" t="str">
            <v>Executive</v>
          </cell>
        </row>
        <row r="1913">
          <cell r="B1913">
            <v>541149</v>
          </cell>
          <cell r="C1913" t="str">
            <v>AHHL-1265</v>
          </cell>
          <cell r="D1913" t="str">
            <v>Shahadat Hossain</v>
          </cell>
          <cell r="E1913">
            <v>541149</v>
          </cell>
          <cell r="F1913" t="str">
            <v>Sales</v>
          </cell>
          <cell r="G1913" t="str">
            <v>Territory Sales Manager</v>
          </cell>
        </row>
        <row r="1914">
          <cell r="B1914">
            <v>541185</v>
          </cell>
          <cell r="C1914" t="str">
            <v>AHHL-1266</v>
          </cell>
          <cell r="D1914" t="str">
            <v>Md. Musaddik Ben Aziz</v>
          </cell>
          <cell r="E1914">
            <v>541185</v>
          </cell>
          <cell r="F1914" t="str">
            <v>Institutional Sales</v>
          </cell>
          <cell r="G1914" t="str">
            <v>Executive</v>
          </cell>
        </row>
        <row r="1915">
          <cell r="B1915">
            <v>541429</v>
          </cell>
          <cell r="C1915" t="str">
            <v>AHHL-1275</v>
          </cell>
          <cell r="D1915" t="str">
            <v>Md. Arob Ali</v>
          </cell>
          <cell r="E1915">
            <v>541429</v>
          </cell>
          <cell r="F1915" t="str">
            <v>Institutional Sales</v>
          </cell>
          <cell r="G1915" t="str">
            <v>Senior Executive</v>
          </cell>
        </row>
        <row r="1916">
          <cell r="B1916">
            <v>541550</v>
          </cell>
          <cell r="C1916" t="str">
            <v>AHHL-1274</v>
          </cell>
          <cell r="D1916" t="str">
            <v>Kazi Shahidul Islam</v>
          </cell>
          <cell r="E1916">
            <v>541550</v>
          </cell>
          <cell r="F1916" t="str">
            <v>Sales</v>
          </cell>
          <cell r="G1916" t="str">
            <v>Area Sales Manager</v>
          </cell>
        </row>
        <row r="1917">
          <cell r="B1917">
            <v>541819</v>
          </cell>
          <cell r="C1917" t="str">
            <v>AHHL(F)-28</v>
          </cell>
          <cell r="D1917" t="str">
            <v>Md. Abul kalam Azad</v>
          </cell>
          <cell r="E1917">
            <v>541819</v>
          </cell>
          <cell r="F1917" t="str">
            <v>Production Planning and Inventory Control</v>
          </cell>
          <cell r="G1917" t="str">
            <v>Junior Executive</v>
          </cell>
        </row>
        <row r="1918">
          <cell r="B1918">
            <v>541869</v>
          </cell>
          <cell r="C1918" t="str">
            <v>AHHL-1285</v>
          </cell>
          <cell r="D1918" t="str">
            <v>Md. Hafizur Rahman</v>
          </cell>
          <cell r="E1918">
            <v>541869</v>
          </cell>
          <cell r="F1918" t="str">
            <v>Sales</v>
          </cell>
          <cell r="G1918" t="str">
            <v>Area Sales Manager</v>
          </cell>
        </row>
        <row r="1919">
          <cell r="B1919">
            <v>542018</v>
          </cell>
          <cell r="C1919" t="str">
            <v>AHHL-1323</v>
          </cell>
          <cell r="D1919" t="str">
            <v>Abul Hasnat</v>
          </cell>
          <cell r="E1919">
            <v>542018</v>
          </cell>
          <cell r="F1919" t="str">
            <v>Event</v>
          </cell>
          <cell r="G1919" t="str">
            <v>Executive</v>
          </cell>
        </row>
        <row r="1920">
          <cell r="B1920">
            <v>542040</v>
          </cell>
          <cell r="C1920" t="str">
            <v>AHHL-1329</v>
          </cell>
          <cell r="D1920" t="str">
            <v>Mohammad Jahangir Alam</v>
          </cell>
          <cell r="E1920">
            <v>542040</v>
          </cell>
          <cell r="F1920" t="str">
            <v>Publication</v>
          </cell>
          <cell r="G1920" t="str">
            <v>Executive</v>
          </cell>
        </row>
        <row r="1921">
          <cell r="B1921">
            <v>542327</v>
          </cell>
          <cell r="C1921" t="str">
            <v>AHHL(F)-32</v>
          </cell>
          <cell r="D1921" t="str">
            <v>Md.Shohanuzzaman</v>
          </cell>
          <cell r="E1921">
            <v>542327</v>
          </cell>
          <cell r="F1921" t="str">
            <v>Vat Department</v>
          </cell>
          <cell r="G1921" t="str">
            <v>Junior Executive</v>
          </cell>
        </row>
        <row r="1922">
          <cell r="B1922">
            <v>542502</v>
          </cell>
          <cell r="C1922" t="str">
            <v>AHHL(F)-35</v>
          </cell>
          <cell r="D1922" t="str">
            <v>Sushanto Chandra Roy</v>
          </cell>
          <cell r="E1922">
            <v>542502</v>
          </cell>
          <cell r="F1922" t="str">
            <v>Vat Department</v>
          </cell>
          <cell r="G1922" t="str">
            <v>Junior Executive</v>
          </cell>
        </row>
        <row r="1923">
          <cell r="B1923">
            <v>542636</v>
          </cell>
          <cell r="C1923" t="str">
            <v>AHHL-1353</v>
          </cell>
          <cell r="D1923" t="str">
            <v>Md. Shohel Rana</v>
          </cell>
          <cell r="E1923">
            <v>542636</v>
          </cell>
          <cell r="F1923" t="str">
            <v>Sales</v>
          </cell>
          <cell r="G1923" t="str">
            <v>Territory Sales Manager</v>
          </cell>
        </row>
        <row r="1924">
          <cell r="B1924">
            <v>542638</v>
          </cell>
          <cell r="C1924" t="str">
            <v>AHHL-1355</v>
          </cell>
          <cell r="D1924" t="str">
            <v>Md. Salim Al Mamun</v>
          </cell>
          <cell r="E1924">
            <v>542638</v>
          </cell>
          <cell r="F1924" t="str">
            <v>Sales</v>
          </cell>
          <cell r="G1924" t="str">
            <v>Territory Sales Manager</v>
          </cell>
        </row>
        <row r="1925">
          <cell r="B1925">
            <v>542725</v>
          </cell>
          <cell r="C1925" t="str">
            <v>AHHL-1357</v>
          </cell>
          <cell r="D1925" t="str">
            <v>Md. Ahad Hossain Mithu</v>
          </cell>
          <cell r="E1925">
            <v>542725</v>
          </cell>
          <cell r="F1925" t="str">
            <v>Sales</v>
          </cell>
          <cell r="G1925" t="str">
            <v>Territory Sales Manager</v>
          </cell>
        </row>
        <row r="1926">
          <cell r="B1926">
            <v>542907</v>
          </cell>
          <cell r="C1926" t="str">
            <v>AHHL-1375</v>
          </cell>
          <cell r="D1926" t="str">
            <v>Md. Enamul Haque</v>
          </cell>
          <cell r="E1926">
            <v>542907</v>
          </cell>
          <cell r="F1926" t="str">
            <v>Sales</v>
          </cell>
          <cell r="G1926" t="str">
            <v>Area Sales Manager</v>
          </cell>
        </row>
        <row r="1927">
          <cell r="B1927">
            <v>543316</v>
          </cell>
          <cell r="C1927" t="str">
            <v>AHHL(F)-40</v>
          </cell>
          <cell r="D1927" t="str">
            <v>B.M Mutasim Billah</v>
          </cell>
          <cell r="E1927">
            <v>543316</v>
          </cell>
          <cell r="F1927" t="str">
            <v>Production Planning and Inventory Control</v>
          </cell>
          <cell r="G1927" t="str">
            <v>Junior Executive</v>
          </cell>
        </row>
        <row r="1928">
          <cell r="B1928">
            <v>543670</v>
          </cell>
          <cell r="C1928" t="str">
            <v>AHHL-1411</v>
          </cell>
          <cell r="D1928" t="str">
            <v>Md. Afzal Hossain</v>
          </cell>
          <cell r="E1928">
            <v>543670</v>
          </cell>
          <cell r="F1928" t="str">
            <v>Sales</v>
          </cell>
          <cell r="G1928" t="str">
            <v>Territory Sales Manager</v>
          </cell>
        </row>
        <row r="1929">
          <cell r="B1929">
            <v>543878</v>
          </cell>
          <cell r="C1929" t="str">
            <v>AHHL(F)-46</v>
          </cell>
          <cell r="D1929" t="str">
            <v>Md. Mustafa Zaved</v>
          </cell>
          <cell r="E1929">
            <v>543878</v>
          </cell>
          <cell r="F1929" t="str">
            <v>Electrical</v>
          </cell>
          <cell r="G1929" t="str">
            <v>Assistant Manager</v>
          </cell>
        </row>
        <row r="1930">
          <cell r="B1930">
            <v>544078</v>
          </cell>
          <cell r="C1930" t="str">
            <v>AHHL-1441</v>
          </cell>
          <cell r="D1930" t="str">
            <v>Tanvir Hassan Shakil</v>
          </cell>
          <cell r="E1930">
            <v>544078</v>
          </cell>
          <cell r="F1930" t="str">
            <v>Business Development &amp; Research</v>
          </cell>
          <cell r="G1930" t="str">
            <v>Assistant Manager</v>
          </cell>
        </row>
        <row r="1931">
          <cell r="B1931">
            <v>544199</v>
          </cell>
          <cell r="C1931" t="str">
            <v>AHHL-1461</v>
          </cell>
          <cell r="D1931" t="str">
            <v>Md. Shoriful Islam</v>
          </cell>
          <cell r="E1931">
            <v>544199</v>
          </cell>
          <cell r="F1931" t="str">
            <v>Sales</v>
          </cell>
          <cell r="G1931" t="str">
            <v>Territory Sales Manager</v>
          </cell>
        </row>
        <row r="1932">
          <cell r="B1932">
            <v>544233</v>
          </cell>
          <cell r="C1932" t="str">
            <v>AHHL-1466</v>
          </cell>
          <cell r="D1932" t="str">
            <v>Mahibul Hassan</v>
          </cell>
          <cell r="E1932">
            <v>544233</v>
          </cell>
          <cell r="F1932" t="str">
            <v>Sales</v>
          </cell>
          <cell r="G1932" t="str">
            <v>Territory Sales Manager</v>
          </cell>
        </row>
        <row r="1933">
          <cell r="B1933">
            <v>544466</v>
          </cell>
          <cell r="C1933" t="str">
            <v>AHHL-1488</v>
          </cell>
          <cell r="D1933" t="str">
            <v>Md. Arifuzzaman</v>
          </cell>
          <cell r="E1933">
            <v>544466</v>
          </cell>
          <cell r="F1933" t="str">
            <v>Sales</v>
          </cell>
          <cell r="G1933" t="str">
            <v>Area Sales Manager</v>
          </cell>
        </row>
        <row r="1934">
          <cell r="B1934">
            <v>544467</v>
          </cell>
          <cell r="C1934" t="str">
            <v>AHHL-1489</v>
          </cell>
          <cell r="D1934" t="str">
            <v>Abdur Rahim Shikder</v>
          </cell>
          <cell r="E1934">
            <v>544467</v>
          </cell>
          <cell r="F1934" t="str">
            <v>Sales</v>
          </cell>
          <cell r="G1934" t="str">
            <v>Area Sales Manager</v>
          </cell>
        </row>
        <row r="1935">
          <cell r="B1935">
            <v>544483</v>
          </cell>
          <cell r="C1935" t="str">
            <v>AHHL-1490</v>
          </cell>
          <cell r="D1935" t="str">
            <v>Golam Hasnayen</v>
          </cell>
          <cell r="E1935">
            <v>544483</v>
          </cell>
          <cell r="F1935" t="str">
            <v>Sales</v>
          </cell>
          <cell r="G1935" t="str">
            <v>Territory Sales Manager</v>
          </cell>
        </row>
        <row r="1936">
          <cell r="B1936">
            <v>544542</v>
          </cell>
          <cell r="C1936" t="str">
            <v>AHHL-1492</v>
          </cell>
          <cell r="D1936" t="str">
            <v>Md. Rubel Rana</v>
          </cell>
          <cell r="E1936">
            <v>544542</v>
          </cell>
          <cell r="F1936" t="str">
            <v>Sales</v>
          </cell>
          <cell r="G1936" t="str">
            <v>Area Sales Manager</v>
          </cell>
        </row>
        <row r="1937">
          <cell r="B1937">
            <v>544543</v>
          </cell>
          <cell r="C1937" t="str">
            <v>AHHL-1493</v>
          </cell>
          <cell r="D1937" t="str">
            <v>Antar Chandra Shom</v>
          </cell>
          <cell r="E1937">
            <v>544543</v>
          </cell>
          <cell r="F1937" t="str">
            <v>Sales</v>
          </cell>
          <cell r="G1937" t="str">
            <v>Area Sales Manager</v>
          </cell>
        </row>
        <row r="1938">
          <cell r="B1938">
            <v>544544</v>
          </cell>
          <cell r="C1938" t="str">
            <v>AHHL-1494</v>
          </cell>
          <cell r="D1938" t="str">
            <v>Md. Khalilur Rahman</v>
          </cell>
          <cell r="E1938">
            <v>544544</v>
          </cell>
          <cell r="F1938" t="str">
            <v>Sales</v>
          </cell>
          <cell r="G1938" t="str">
            <v>Area Sales Manager</v>
          </cell>
        </row>
        <row r="1939">
          <cell r="B1939">
            <v>545849</v>
          </cell>
          <cell r="C1939" t="str">
            <v>AHHL-1584</v>
          </cell>
          <cell r="D1939" t="str">
            <v>Md. Majedur Rahman Mitu</v>
          </cell>
          <cell r="E1939">
            <v>545849</v>
          </cell>
          <cell r="F1939" t="str">
            <v>Sales</v>
          </cell>
          <cell r="G1939" t="str">
            <v>Territory Sales Manager</v>
          </cell>
        </row>
        <row r="1940">
          <cell r="B1940">
            <v>546711</v>
          </cell>
          <cell r="C1940" t="str">
            <v>AHHL-1643</v>
          </cell>
          <cell r="D1940" t="str">
            <v>Md. Awolad Hossain</v>
          </cell>
          <cell r="E1940">
            <v>546711</v>
          </cell>
          <cell r="F1940" t="str">
            <v>Product Development and Quality Control</v>
          </cell>
          <cell r="G1940" t="str">
            <v>Executive</v>
          </cell>
        </row>
        <row r="1941">
          <cell r="B1941">
            <v>547973</v>
          </cell>
          <cell r="C1941" t="str">
            <v>AHHL-1662</v>
          </cell>
          <cell r="D1941" t="str">
            <v>Rakib Hossain</v>
          </cell>
          <cell r="E1941">
            <v>547973</v>
          </cell>
          <cell r="F1941" t="str">
            <v>Supply Chain</v>
          </cell>
          <cell r="G1941" t="str">
            <v>Executive</v>
          </cell>
        </row>
        <row r="1942">
          <cell r="B1942">
            <v>548436</v>
          </cell>
          <cell r="C1942" t="str">
            <v>AHHL-1680</v>
          </cell>
          <cell r="D1942" t="str">
            <v>Md. Shamim Reza</v>
          </cell>
          <cell r="E1942">
            <v>548436</v>
          </cell>
          <cell r="F1942" t="str">
            <v>Sales</v>
          </cell>
          <cell r="G1942" t="str">
            <v>Area Sales Manager</v>
          </cell>
        </row>
        <row r="1943">
          <cell r="B1943">
            <v>548606</v>
          </cell>
          <cell r="C1943" t="str">
            <v>AHHL-1716</v>
          </cell>
          <cell r="D1943" t="str">
            <v>Md. Mahfuzur Rahman</v>
          </cell>
          <cell r="E1943">
            <v>548606</v>
          </cell>
          <cell r="F1943" t="str">
            <v>Sales</v>
          </cell>
          <cell r="G1943" t="str">
            <v>Area Sales Manager</v>
          </cell>
        </row>
        <row r="1944">
          <cell r="B1944">
            <v>549128</v>
          </cell>
          <cell r="C1944" t="str">
            <v>AHHL-1765</v>
          </cell>
          <cell r="D1944" t="str">
            <v>Arafat Hossain</v>
          </cell>
          <cell r="E1944">
            <v>549128</v>
          </cell>
          <cell r="F1944" t="str">
            <v>Supply Chain</v>
          </cell>
          <cell r="G1944" t="str">
            <v>Assistant Manager</v>
          </cell>
        </row>
        <row r="1945">
          <cell r="B1945">
            <v>549170</v>
          </cell>
          <cell r="C1945" t="str">
            <v>AHHL-1766</v>
          </cell>
          <cell r="D1945" t="str">
            <v>Md. Fahiem Haque</v>
          </cell>
          <cell r="E1945">
            <v>549170</v>
          </cell>
          <cell r="F1945" t="str">
            <v>Brand</v>
          </cell>
          <cell r="G1945" t="str">
            <v>Manager</v>
          </cell>
        </row>
        <row r="1946">
          <cell r="B1946">
            <v>549262</v>
          </cell>
          <cell r="C1946" t="str">
            <v>AHHL-1771</v>
          </cell>
          <cell r="D1946" t="str">
            <v>Md. Reza E Rabbi</v>
          </cell>
          <cell r="E1946">
            <v>549262</v>
          </cell>
          <cell r="F1946" t="str">
            <v>Market Audit &amp; Business Intelligence</v>
          </cell>
          <cell r="G1946" t="str">
            <v>Executive</v>
          </cell>
        </row>
        <row r="1947">
          <cell r="B1947">
            <v>550067</v>
          </cell>
          <cell r="C1947" t="str">
            <v>AHHL-1819</v>
          </cell>
          <cell r="D1947" t="str">
            <v>Md Parvez Shikder</v>
          </cell>
          <cell r="E1947">
            <v>550067</v>
          </cell>
          <cell r="F1947" t="str">
            <v>Sales</v>
          </cell>
          <cell r="G1947" t="str">
            <v>Territory Sales Manager</v>
          </cell>
        </row>
        <row r="1948">
          <cell r="B1948">
            <v>550105</v>
          </cell>
          <cell r="C1948" t="str">
            <v>AHHL-1838</v>
          </cell>
          <cell r="D1948" t="str">
            <v>Raihan Sajid</v>
          </cell>
          <cell r="E1948">
            <v>550105</v>
          </cell>
          <cell r="F1948" t="str">
            <v>Finance &amp; Accounts</v>
          </cell>
          <cell r="G1948" t="str">
            <v>Executive</v>
          </cell>
        </row>
        <row r="1949">
          <cell r="B1949">
            <v>550155</v>
          </cell>
          <cell r="C1949" t="str">
            <v>AHHL-1846</v>
          </cell>
          <cell r="D1949" t="str">
            <v>Fauzia Sultana</v>
          </cell>
          <cell r="E1949">
            <v>550155</v>
          </cell>
          <cell r="F1949" t="str">
            <v>Brand</v>
          </cell>
          <cell r="G1949" t="str">
            <v>Assistant Manager</v>
          </cell>
        </row>
        <row r="1950">
          <cell r="B1950">
            <v>550452</v>
          </cell>
          <cell r="C1950" t="str">
            <v>AHHL-1852</v>
          </cell>
          <cell r="D1950" t="str">
            <v>Md. Kobir Hossen</v>
          </cell>
          <cell r="E1950">
            <v>550452</v>
          </cell>
          <cell r="F1950" t="str">
            <v>Supply Chain</v>
          </cell>
          <cell r="G1950" t="str">
            <v>Senior Executive</v>
          </cell>
        </row>
        <row r="1951">
          <cell r="B1951">
            <v>550697</v>
          </cell>
          <cell r="C1951" t="str">
            <v>AHHL(F)-69</v>
          </cell>
          <cell r="D1951" t="str">
            <v>Shaon Sarkar</v>
          </cell>
          <cell r="E1951">
            <v>550697</v>
          </cell>
          <cell r="F1951" t="str">
            <v>Production Planning and Inventory Control</v>
          </cell>
          <cell r="G1951" t="str">
            <v>Executive</v>
          </cell>
        </row>
        <row r="1952">
          <cell r="B1952">
            <v>550866</v>
          </cell>
          <cell r="C1952" t="str">
            <v>AHHL-1867</v>
          </cell>
          <cell r="D1952" t="str">
            <v>Md. Abul Hasnat Khan</v>
          </cell>
          <cell r="E1952">
            <v>550866</v>
          </cell>
          <cell r="F1952" t="str">
            <v>Supply Chain</v>
          </cell>
          <cell r="G1952" t="str">
            <v>Senior Executive</v>
          </cell>
        </row>
        <row r="1953">
          <cell r="B1953">
            <v>550964</v>
          </cell>
          <cell r="C1953" t="str">
            <v>AHHL(F)-70</v>
          </cell>
          <cell r="D1953" t="str">
            <v>Rezwanul Haque</v>
          </cell>
          <cell r="E1953">
            <v>550964</v>
          </cell>
          <cell r="F1953" t="str">
            <v>Quality Control</v>
          </cell>
          <cell r="G1953" t="str">
            <v>Executive</v>
          </cell>
        </row>
        <row r="1954">
          <cell r="B1954">
            <v>551308</v>
          </cell>
          <cell r="C1954" t="str">
            <v>AHHL-1892</v>
          </cell>
          <cell r="D1954" t="str">
            <v>Sheikh Arifin Islam</v>
          </cell>
          <cell r="E1954">
            <v>551308</v>
          </cell>
          <cell r="F1954" t="str">
            <v>Supply Chain</v>
          </cell>
          <cell r="G1954" t="str">
            <v>Senior Executive</v>
          </cell>
        </row>
        <row r="1955">
          <cell r="B1955">
            <v>551390</v>
          </cell>
          <cell r="C1955" t="str">
            <v>AHHL-1895</v>
          </cell>
          <cell r="D1955" t="str">
            <v>Md. Tanvirul Islam Khan</v>
          </cell>
          <cell r="E1955">
            <v>551390</v>
          </cell>
          <cell r="F1955" t="str">
            <v>Market Audit &amp; Business Intelligence</v>
          </cell>
          <cell r="G1955" t="str">
            <v>Executive</v>
          </cell>
        </row>
        <row r="1956">
          <cell r="B1956">
            <v>551513</v>
          </cell>
          <cell r="C1956" t="str">
            <v>AHHL-1900</v>
          </cell>
          <cell r="D1956" t="str">
            <v>Narayan Chandra Saha</v>
          </cell>
          <cell r="E1956">
            <v>551513</v>
          </cell>
          <cell r="F1956" t="str">
            <v>Sales</v>
          </cell>
          <cell r="G1956" t="str">
            <v>Regional Sales Manager</v>
          </cell>
        </row>
        <row r="1957">
          <cell r="B1957">
            <v>551599</v>
          </cell>
          <cell r="C1957" t="str">
            <v>AHHL-1901</v>
          </cell>
          <cell r="D1957" t="str">
            <v>Saimon Islam</v>
          </cell>
          <cell r="E1957">
            <v>551599</v>
          </cell>
          <cell r="F1957" t="str">
            <v>Production</v>
          </cell>
          <cell r="G1957" t="str">
            <v>Senior Executive</v>
          </cell>
        </row>
        <row r="1958">
          <cell r="B1958">
            <v>551842</v>
          </cell>
          <cell r="C1958" t="str">
            <v>AHHL(F)-76</v>
          </cell>
          <cell r="D1958" t="str">
            <v>Md.Mahmudul Hasan</v>
          </cell>
          <cell r="E1958">
            <v>551842</v>
          </cell>
          <cell r="F1958" t="str">
            <v>Production (Detergent)</v>
          </cell>
          <cell r="G1958" t="str">
            <v>Executive</v>
          </cell>
        </row>
        <row r="1959">
          <cell r="B1959">
            <v>551843</v>
          </cell>
          <cell r="C1959" t="str">
            <v>AHHL(F)-77</v>
          </cell>
          <cell r="D1959" t="str">
            <v>Md.Rashed Nizam Jibon</v>
          </cell>
          <cell r="E1959">
            <v>551843</v>
          </cell>
          <cell r="F1959" t="str">
            <v>Production Planning and Inventory Control</v>
          </cell>
          <cell r="G1959" t="str">
            <v>Executive</v>
          </cell>
        </row>
        <row r="1960">
          <cell r="B1960">
            <v>552262</v>
          </cell>
          <cell r="C1960" t="str">
            <v>AHHL-1946</v>
          </cell>
          <cell r="D1960" t="str">
            <v xml:space="preserve">Anichur Rahman </v>
          </cell>
          <cell r="E1960">
            <v>552262</v>
          </cell>
          <cell r="F1960" t="str">
            <v>Sales</v>
          </cell>
          <cell r="G1960" t="str">
            <v>Territory Sales Manager</v>
          </cell>
        </row>
        <row r="1961">
          <cell r="B1961">
            <v>552264</v>
          </cell>
          <cell r="C1961" t="str">
            <v>AHHL-1948</v>
          </cell>
          <cell r="D1961" t="str">
            <v>Md. Khaium Hossain</v>
          </cell>
          <cell r="E1961">
            <v>552264</v>
          </cell>
          <cell r="F1961" t="str">
            <v>Sales</v>
          </cell>
          <cell r="G1961" t="str">
            <v>Territory Sales Manager</v>
          </cell>
        </row>
        <row r="1962">
          <cell r="B1962">
            <v>552292</v>
          </cell>
          <cell r="C1962" t="str">
            <v>AHHL-1953</v>
          </cell>
          <cell r="D1962" t="str">
            <v>Md. Asifuzzaman Asif</v>
          </cell>
          <cell r="E1962">
            <v>552292</v>
          </cell>
          <cell r="F1962" t="str">
            <v>MIS</v>
          </cell>
          <cell r="G1962" t="str">
            <v>Senior Executive</v>
          </cell>
        </row>
        <row r="1963">
          <cell r="B1963">
            <v>552393</v>
          </cell>
          <cell r="C1963" t="str">
            <v>AHHL-1966</v>
          </cell>
          <cell r="D1963" t="str">
            <v>Setu Molla</v>
          </cell>
          <cell r="E1963">
            <v>552393</v>
          </cell>
          <cell r="F1963" t="str">
            <v>Creative</v>
          </cell>
          <cell r="G1963" t="str">
            <v>Assistant Manager</v>
          </cell>
        </row>
        <row r="1964">
          <cell r="B1964">
            <v>552433</v>
          </cell>
          <cell r="C1964" t="str">
            <v>AHHL-1970</v>
          </cell>
          <cell r="D1964" t="str">
            <v>Sajon Ahmed Nannu</v>
          </cell>
          <cell r="E1964">
            <v>552433</v>
          </cell>
          <cell r="F1964" t="str">
            <v>Sales</v>
          </cell>
          <cell r="G1964" t="str">
            <v>Territory Sales Manager</v>
          </cell>
        </row>
        <row r="1965">
          <cell r="B1965">
            <v>552761</v>
          </cell>
          <cell r="C1965" t="str">
            <v>AHHL-1987</v>
          </cell>
          <cell r="D1965" t="str">
            <v>Md. Ripon</v>
          </cell>
          <cell r="E1965">
            <v>552761</v>
          </cell>
          <cell r="F1965" t="str">
            <v>Sales</v>
          </cell>
          <cell r="G1965" t="str">
            <v>Area Sales Manager</v>
          </cell>
        </row>
        <row r="1966">
          <cell r="B1966">
            <v>552800</v>
          </cell>
          <cell r="C1966" t="str">
            <v>AHHL(F)-84</v>
          </cell>
          <cell r="D1966" t="str">
            <v>Md.Showpon Mredha</v>
          </cell>
          <cell r="E1966">
            <v>552800</v>
          </cell>
          <cell r="F1966" t="str">
            <v>Quality Control</v>
          </cell>
          <cell r="G1966" t="str">
            <v>Executive</v>
          </cell>
        </row>
        <row r="1967">
          <cell r="B1967">
            <v>552853</v>
          </cell>
          <cell r="C1967" t="str">
            <v>AHHL(F)-87</v>
          </cell>
          <cell r="D1967" t="str">
            <v xml:space="preserve"> Monjur Ahmmed</v>
          </cell>
          <cell r="E1967">
            <v>552853</v>
          </cell>
          <cell r="F1967" t="str">
            <v>Production (Detergent)</v>
          </cell>
          <cell r="G1967" t="str">
            <v>Executive</v>
          </cell>
        </row>
        <row r="1968">
          <cell r="B1968">
            <v>553337</v>
          </cell>
          <cell r="C1968" t="str">
            <v>AHHL-2013</v>
          </cell>
          <cell r="D1968" t="str">
            <v>Rubel Chandra Dey</v>
          </cell>
          <cell r="E1968">
            <v>553337</v>
          </cell>
          <cell r="F1968" t="str">
            <v>Distribution</v>
          </cell>
          <cell r="G1968" t="str">
            <v>Junior Executive</v>
          </cell>
        </row>
        <row r="1969">
          <cell r="B1969">
            <v>553338</v>
          </cell>
          <cell r="C1969" t="str">
            <v>AHHL-2014</v>
          </cell>
          <cell r="D1969" t="str">
            <v>Md. Jainul Abedin</v>
          </cell>
          <cell r="E1969">
            <v>553338</v>
          </cell>
          <cell r="F1969" t="str">
            <v>Distribution</v>
          </cell>
          <cell r="G1969" t="str">
            <v>Junior Executive</v>
          </cell>
        </row>
        <row r="1970">
          <cell r="B1970">
            <v>553339</v>
          </cell>
          <cell r="C1970" t="str">
            <v>AHHL-2015</v>
          </cell>
          <cell r="D1970" t="str">
            <v>Md. Hafizur Rahman</v>
          </cell>
          <cell r="E1970">
            <v>553339</v>
          </cell>
          <cell r="F1970" t="str">
            <v>Distribution</v>
          </cell>
          <cell r="G1970" t="str">
            <v>Junior Executive</v>
          </cell>
        </row>
        <row r="1971">
          <cell r="B1971">
            <v>553340</v>
          </cell>
          <cell r="C1971" t="str">
            <v>AHHL-2016</v>
          </cell>
          <cell r="D1971" t="str">
            <v>Md. Imran Ahmed</v>
          </cell>
          <cell r="E1971">
            <v>553340</v>
          </cell>
          <cell r="F1971" t="str">
            <v>Distribution</v>
          </cell>
          <cell r="G1971" t="str">
            <v>Junior Executive</v>
          </cell>
        </row>
        <row r="1972">
          <cell r="B1972">
            <v>553848</v>
          </cell>
          <cell r="C1972" t="str">
            <v>AHHL-2070</v>
          </cell>
          <cell r="D1972" t="str">
            <v>Yasin Arafat</v>
          </cell>
          <cell r="E1972">
            <v>553848</v>
          </cell>
          <cell r="F1972" t="str">
            <v>Sales</v>
          </cell>
          <cell r="G1972" t="str">
            <v>Territory Sales Manager</v>
          </cell>
        </row>
        <row r="1973">
          <cell r="B1973">
            <v>553850</v>
          </cell>
          <cell r="C1973" t="str">
            <v>AHHL-2072</v>
          </cell>
          <cell r="D1973" t="str">
            <v>Md. Rozibul Islam</v>
          </cell>
          <cell r="E1973">
            <v>553850</v>
          </cell>
          <cell r="F1973" t="str">
            <v>Sales</v>
          </cell>
          <cell r="G1973" t="str">
            <v>Territory Sales Manager</v>
          </cell>
        </row>
        <row r="1974">
          <cell r="B1974">
            <v>554028</v>
          </cell>
          <cell r="C1974" t="str">
            <v>AHHL-2075</v>
          </cell>
          <cell r="D1974" t="str">
            <v>Ariful Islam</v>
          </cell>
          <cell r="E1974">
            <v>554028</v>
          </cell>
          <cell r="F1974" t="str">
            <v>Sales</v>
          </cell>
          <cell r="G1974" t="str">
            <v>Territory Sales Manager</v>
          </cell>
        </row>
        <row r="1975">
          <cell r="B1975">
            <v>554033</v>
          </cell>
          <cell r="C1975" t="str">
            <v>AHHL-2076</v>
          </cell>
          <cell r="D1975" t="str">
            <v>Md. Sohag Ali</v>
          </cell>
          <cell r="E1975">
            <v>554033</v>
          </cell>
          <cell r="F1975" t="str">
            <v>Sales</v>
          </cell>
          <cell r="G1975" t="str">
            <v>Territory Sales Manager</v>
          </cell>
        </row>
        <row r="1976">
          <cell r="B1976">
            <v>554034</v>
          </cell>
          <cell r="C1976" t="str">
            <v>AHHL-2077</v>
          </cell>
          <cell r="D1976" t="str">
            <v>Sk Iqbal Hossain</v>
          </cell>
          <cell r="E1976">
            <v>554034</v>
          </cell>
          <cell r="F1976" t="str">
            <v>Sales</v>
          </cell>
          <cell r="G1976" t="str">
            <v>Territory Sales Manager</v>
          </cell>
        </row>
        <row r="1977">
          <cell r="B1977">
            <v>554035</v>
          </cell>
          <cell r="C1977" t="str">
            <v>AHHL-2078</v>
          </cell>
          <cell r="D1977" t="str">
            <v>Md. Jashim Uddin</v>
          </cell>
          <cell r="E1977">
            <v>554035</v>
          </cell>
          <cell r="F1977" t="str">
            <v>Sales</v>
          </cell>
          <cell r="G1977" t="str">
            <v>Territory Sales Manager</v>
          </cell>
        </row>
        <row r="1978">
          <cell r="B1978">
            <v>555218</v>
          </cell>
          <cell r="C1978" t="str">
            <v>AHHL-2184</v>
          </cell>
          <cell r="D1978" t="str">
            <v>Md. Masnun Mostafa</v>
          </cell>
          <cell r="E1978">
            <v>555218</v>
          </cell>
          <cell r="F1978" t="str">
            <v>Supply Chain</v>
          </cell>
          <cell r="G1978" t="str">
            <v>Executive</v>
          </cell>
        </row>
        <row r="1979">
          <cell r="B1979">
            <v>555515</v>
          </cell>
          <cell r="C1979" t="str">
            <v>AHHL-2221</v>
          </cell>
          <cell r="D1979" t="str">
            <v>Md. Mahadi Hassan</v>
          </cell>
          <cell r="E1979">
            <v>555515</v>
          </cell>
          <cell r="F1979" t="str">
            <v>Distribution</v>
          </cell>
          <cell r="G1979" t="str">
            <v>Junior Executive</v>
          </cell>
        </row>
        <row r="1980">
          <cell r="B1980">
            <v>555714</v>
          </cell>
          <cell r="C1980" t="str">
            <v>AHHL-2231</v>
          </cell>
          <cell r="D1980" t="str">
            <v>Md. Mahofuzar Rahman Joy</v>
          </cell>
          <cell r="E1980">
            <v>555714</v>
          </cell>
          <cell r="F1980" t="str">
            <v>Market Audit &amp; Business Intelligence</v>
          </cell>
          <cell r="G1980" t="str">
            <v>Executive</v>
          </cell>
        </row>
        <row r="1981">
          <cell r="B1981">
            <v>555715</v>
          </cell>
          <cell r="C1981" t="str">
            <v>AHHL-2232</v>
          </cell>
          <cell r="D1981" t="str">
            <v>Ruhan Sakir</v>
          </cell>
          <cell r="E1981">
            <v>555715</v>
          </cell>
          <cell r="F1981" t="str">
            <v>Market Audit &amp; Business Intelligence</v>
          </cell>
          <cell r="G1981" t="str">
            <v>Executive</v>
          </cell>
        </row>
        <row r="1982">
          <cell r="B1982">
            <v>555771</v>
          </cell>
          <cell r="C1982" t="str">
            <v>AHHL-2255</v>
          </cell>
          <cell r="D1982" t="str">
            <v>Md. Tazminur Rahman</v>
          </cell>
          <cell r="E1982">
            <v>555771</v>
          </cell>
          <cell r="F1982" t="str">
            <v>Distribution</v>
          </cell>
          <cell r="G1982" t="str">
            <v>Junior Executive</v>
          </cell>
        </row>
        <row r="1983">
          <cell r="B1983">
            <v>556244</v>
          </cell>
          <cell r="C1983" t="str">
            <v>AHHL-2293</v>
          </cell>
          <cell r="D1983" t="str">
            <v>Md. Murad Hossain</v>
          </cell>
          <cell r="E1983">
            <v>556244</v>
          </cell>
          <cell r="F1983" t="str">
            <v>Sales</v>
          </cell>
          <cell r="G1983" t="str">
            <v>Territory Sales Manager</v>
          </cell>
        </row>
        <row r="1984">
          <cell r="B1984">
            <v>556696</v>
          </cell>
          <cell r="C1984" t="str">
            <v>AHHL-2310</v>
          </cell>
          <cell r="D1984" t="str">
            <v>Md. Kazi Ferojul Islam</v>
          </cell>
          <cell r="E1984">
            <v>556696</v>
          </cell>
          <cell r="F1984" t="str">
            <v>Sales</v>
          </cell>
          <cell r="G1984" t="str">
            <v>Territory Sales Manager</v>
          </cell>
        </row>
        <row r="1985">
          <cell r="B1985">
            <v>556837</v>
          </cell>
          <cell r="C1985" t="str">
            <v>AHHL-2314</v>
          </cell>
          <cell r="D1985" t="str">
            <v>Md. Aminul Islam</v>
          </cell>
          <cell r="E1985">
            <v>556837</v>
          </cell>
          <cell r="F1985" t="str">
            <v>Sales</v>
          </cell>
          <cell r="G1985" t="str">
            <v>Area Sales Manager</v>
          </cell>
        </row>
        <row r="1986">
          <cell r="B1986">
            <v>557084</v>
          </cell>
          <cell r="C1986" t="str">
            <v>AHHL-2323</v>
          </cell>
          <cell r="D1986" t="str">
            <v>Md. Asifur Rahman</v>
          </cell>
          <cell r="E1986">
            <v>557084</v>
          </cell>
          <cell r="F1986" t="str">
            <v>Market Audit &amp; Business Intelligence</v>
          </cell>
          <cell r="G1986" t="str">
            <v>Executive</v>
          </cell>
        </row>
        <row r="1987">
          <cell r="B1987">
            <v>557136</v>
          </cell>
          <cell r="C1987" t="str">
            <v>AHHL-2334</v>
          </cell>
          <cell r="D1987" t="str">
            <v>Mohammadpur Altap Hossain</v>
          </cell>
          <cell r="E1987">
            <v>557136</v>
          </cell>
          <cell r="F1987" t="str">
            <v>Modern Trade</v>
          </cell>
          <cell r="G1987" t="str">
            <v>Executive</v>
          </cell>
        </row>
        <row r="1988">
          <cell r="B1988">
            <v>557393</v>
          </cell>
          <cell r="C1988" t="str">
            <v>AHHL-2353</v>
          </cell>
          <cell r="D1988" t="str">
            <v>Md. Eimon Howlader</v>
          </cell>
          <cell r="E1988">
            <v>557393</v>
          </cell>
          <cell r="F1988" t="str">
            <v>Sales</v>
          </cell>
          <cell r="G1988" t="str">
            <v>Territory Sales Manager</v>
          </cell>
        </row>
        <row r="1989">
          <cell r="B1989">
            <v>557551</v>
          </cell>
          <cell r="C1989" t="str">
            <v>AHHL(F)-98</v>
          </cell>
          <cell r="D1989" t="str">
            <v>Md kaisar Ahmed</v>
          </cell>
          <cell r="E1989">
            <v>557551</v>
          </cell>
          <cell r="F1989" t="str">
            <v>Quality Control</v>
          </cell>
          <cell r="G1989" t="str">
            <v>Executive</v>
          </cell>
        </row>
        <row r="1990">
          <cell r="B1990">
            <v>557804</v>
          </cell>
          <cell r="C1990" t="str">
            <v>AHHL-2392</v>
          </cell>
          <cell r="D1990" t="str">
            <v>Md. Abdullah Mahmud</v>
          </cell>
          <cell r="E1990">
            <v>557804</v>
          </cell>
          <cell r="F1990" t="str">
            <v>Sales</v>
          </cell>
          <cell r="G1990" t="str">
            <v>Territory Sales Manager</v>
          </cell>
        </row>
        <row r="1991">
          <cell r="B1991">
            <v>557837</v>
          </cell>
          <cell r="C1991" t="str">
            <v>AHHL-2401</v>
          </cell>
          <cell r="D1991" t="str">
            <v>Md. Nashir Uddin</v>
          </cell>
          <cell r="E1991">
            <v>557837</v>
          </cell>
          <cell r="F1991" t="str">
            <v>Product Development and Quality Control</v>
          </cell>
          <cell r="G1991" t="str">
            <v>Deputy Manager</v>
          </cell>
        </row>
        <row r="1992">
          <cell r="B1992">
            <v>557838</v>
          </cell>
          <cell r="C1992" t="str">
            <v>AHHL-2400</v>
          </cell>
          <cell r="D1992" t="str">
            <v>Md. Golam Rabby Rifat</v>
          </cell>
          <cell r="E1992">
            <v>557838</v>
          </cell>
          <cell r="F1992" t="str">
            <v>Trade Marketing</v>
          </cell>
          <cell r="G1992" t="str">
            <v>Deputy Manager</v>
          </cell>
        </row>
        <row r="1993">
          <cell r="B1993">
            <v>557841</v>
          </cell>
          <cell r="C1993" t="str">
            <v>AHHL-2402</v>
          </cell>
          <cell r="D1993" t="str">
            <v>Md. Tajul Islam</v>
          </cell>
          <cell r="E1993">
            <v>557841</v>
          </cell>
          <cell r="F1993" t="str">
            <v>Sales</v>
          </cell>
          <cell r="G1993" t="str">
            <v>Regional Sales Manager</v>
          </cell>
        </row>
        <row r="1994">
          <cell r="B1994">
            <v>557894</v>
          </cell>
          <cell r="C1994" t="str">
            <v>AHHL-2403</v>
          </cell>
          <cell r="D1994" t="str">
            <v>Ali Ahsan</v>
          </cell>
          <cell r="E1994">
            <v>557894</v>
          </cell>
          <cell r="F1994" t="str">
            <v>Sales</v>
          </cell>
          <cell r="G1994" t="str">
            <v>Regional Sales Manager</v>
          </cell>
        </row>
        <row r="1995">
          <cell r="B1995">
            <v>558002</v>
          </cell>
          <cell r="C1995" t="str">
            <v>AHHL-2405</v>
          </cell>
          <cell r="D1995" t="str">
            <v>Md. Yasir Arafat</v>
          </cell>
          <cell r="E1995">
            <v>558002</v>
          </cell>
          <cell r="F1995" t="str">
            <v>Market Audit &amp; Business Intelligence</v>
          </cell>
          <cell r="G1995" t="str">
            <v>Executive</v>
          </cell>
        </row>
        <row r="1996">
          <cell r="B1996">
            <v>558003</v>
          </cell>
          <cell r="C1996" t="str">
            <v>AHHL-2406</v>
          </cell>
          <cell r="D1996" t="str">
            <v>Md. Sabbir Hossain</v>
          </cell>
          <cell r="E1996">
            <v>558003</v>
          </cell>
          <cell r="F1996" t="str">
            <v>Market Audit &amp; Business Intelligence</v>
          </cell>
          <cell r="G1996" t="str">
            <v>Executive</v>
          </cell>
        </row>
        <row r="1997">
          <cell r="B1997">
            <v>558205</v>
          </cell>
          <cell r="C1997" t="str">
            <v>AHHL-2420</v>
          </cell>
          <cell r="D1997" t="str">
            <v>Md. Masud Rana</v>
          </cell>
          <cell r="E1997">
            <v>558205</v>
          </cell>
          <cell r="F1997" t="str">
            <v>Sales</v>
          </cell>
          <cell r="G1997" t="str">
            <v>Territory Sales Manager</v>
          </cell>
        </row>
        <row r="1998">
          <cell r="B1998">
            <v>558206</v>
          </cell>
          <cell r="C1998" t="str">
            <v>AHHL-2421</v>
          </cell>
          <cell r="D1998" t="str">
            <v>Md. Abul Kalam Azad</v>
          </cell>
          <cell r="E1998">
            <v>558206</v>
          </cell>
          <cell r="F1998" t="str">
            <v>Sales</v>
          </cell>
          <cell r="G1998" t="str">
            <v>Territory Sales Manager</v>
          </cell>
        </row>
        <row r="1999">
          <cell r="B1999">
            <v>558538</v>
          </cell>
          <cell r="C1999" t="str">
            <v>AHHL(F)-99</v>
          </cell>
          <cell r="D1999" t="str">
            <v>Md. Wahiduzzaman</v>
          </cell>
          <cell r="E1999">
            <v>558538</v>
          </cell>
          <cell r="F1999" t="str">
            <v>Quality Control</v>
          </cell>
          <cell r="G1999" t="str">
            <v>Executive</v>
          </cell>
        </row>
        <row r="2000">
          <cell r="B2000">
            <v>558979</v>
          </cell>
          <cell r="C2000" t="str">
            <v>AHHL-2482</v>
          </cell>
          <cell r="D2000" t="str">
            <v>Jamshed Amin</v>
          </cell>
          <cell r="E2000">
            <v>558979</v>
          </cell>
          <cell r="F2000" t="str">
            <v>HR</v>
          </cell>
          <cell r="G2000" t="str">
            <v>Assistant Manager</v>
          </cell>
        </row>
        <row r="2001">
          <cell r="B2001">
            <v>559459</v>
          </cell>
          <cell r="C2001" t="str">
            <v>AHHL-2517</v>
          </cell>
          <cell r="D2001" t="str">
            <v>Md. Shahin Khan</v>
          </cell>
          <cell r="E2001">
            <v>559459</v>
          </cell>
          <cell r="F2001" t="str">
            <v>Sales</v>
          </cell>
          <cell r="G2001" t="str">
            <v>Regional Sales Manager</v>
          </cell>
        </row>
        <row r="2002">
          <cell r="B2002">
            <v>559676</v>
          </cell>
          <cell r="C2002" t="str">
            <v>AHHL-2529</v>
          </cell>
          <cell r="D2002" t="str">
            <v>Rezaul Karim</v>
          </cell>
          <cell r="E2002">
            <v>559676</v>
          </cell>
          <cell r="F2002" t="str">
            <v>Sales</v>
          </cell>
          <cell r="G2002" t="str">
            <v>Territory Sales Manager</v>
          </cell>
        </row>
        <row r="2003">
          <cell r="B2003">
            <v>559677</v>
          </cell>
          <cell r="C2003" t="str">
            <v>AHHL-2530</v>
          </cell>
          <cell r="D2003" t="str">
            <v>Pradip Kumar Saha</v>
          </cell>
          <cell r="E2003">
            <v>559677</v>
          </cell>
          <cell r="F2003" t="str">
            <v>Sales</v>
          </cell>
          <cell r="G2003" t="str">
            <v>Territory Sales Manager</v>
          </cell>
        </row>
        <row r="2004">
          <cell r="B2004">
            <v>560064</v>
          </cell>
          <cell r="C2004" t="str">
            <v>AHHL-2554</v>
          </cell>
          <cell r="D2004" t="str">
            <v>Md. Kawsar Ahammed</v>
          </cell>
          <cell r="E2004">
            <v>560064</v>
          </cell>
          <cell r="F2004" t="str">
            <v>Event</v>
          </cell>
          <cell r="G2004" t="str">
            <v>Executive</v>
          </cell>
        </row>
        <row r="2005">
          <cell r="B2005">
            <v>560066</v>
          </cell>
          <cell r="C2005" t="str">
            <v>AHHL-2550</v>
          </cell>
          <cell r="D2005" t="str">
            <v>Md. Sabuj Hossain</v>
          </cell>
          <cell r="E2005">
            <v>560066</v>
          </cell>
          <cell r="F2005" t="str">
            <v>Sales</v>
          </cell>
          <cell r="G2005" t="str">
            <v>Territory Sales Manager</v>
          </cell>
        </row>
        <row r="2006">
          <cell r="B2006">
            <v>560209</v>
          </cell>
          <cell r="C2006" t="str">
            <v>AHHL-2566</v>
          </cell>
          <cell r="D2006" t="str">
            <v>Md. Iqbal Hossain</v>
          </cell>
          <cell r="E2006">
            <v>560209</v>
          </cell>
          <cell r="F2006" t="str">
            <v>Outdoor Management</v>
          </cell>
          <cell r="G2006" t="str">
            <v>Senior Executive</v>
          </cell>
        </row>
        <row r="2007">
          <cell r="B2007">
            <v>560275</v>
          </cell>
          <cell r="C2007" t="str">
            <v>AHHL-2567</v>
          </cell>
          <cell r="D2007" t="str">
            <v>Abdullah Ibn Younus</v>
          </cell>
          <cell r="E2007">
            <v>560275</v>
          </cell>
          <cell r="F2007" t="str">
            <v>MIS</v>
          </cell>
          <cell r="G2007" t="str">
            <v>Executive</v>
          </cell>
        </row>
        <row r="2008">
          <cell r="B2008">
            <v>560343</v>
          </cell>
          <cell r="C2008" t="str">
            <v>AHHL(F)-102</v>
          </cell>
          <cell r="D2008" t="str">
            <v>Himel</v>
          </cell>
          <cell r="E2008">
            <v>560343</v>
          </cell>
          <cell r="F2008" t="str">
            <v>Production (Diaper &amp; Napkin)</v>
          </cell>
          <cell r="G2008" t="str">
            <v>Junior Executive</v>
          </cell>
        </row>
        <row r="2009">
          <cell r="B2009">
            <v>560629</v>
          </cell>
          <cell r="C2009" t="str">
            <v>AHHL(F)-104</v>
          </cell>
          <cell r="D2009" t="str">
            <v>Ahamed Osman Al Nahian</v>
          </cell>
          <cell r="E2009">
            <v>560629</v>
          </cell>
          <cell r="F2009" t="str">
            <v>Electrical</v>
          </cell>
          <cell r="G2009" t="str">
            <v>Engineer</v>
          </cell>
        </row>
        <row r="2010">
          <cell r="B2010">
            <v>560648</v>
          </cell>
          <cell r="C2010" t="str">
            <v>AHHL-2588</v>
          </cell>
          <cell r="D2010" t="str">
            <v>Md. Forhad Hossain</v>
          </cell>
          <cell r="E2010">
            <v>560648</v>
          </cell>
          <cell r="F2010" t="str">
            <v>Sales</v>
          </cell>
          <cell r="G2010" t="str">
            <v>Territory Sales Manager</v>
          </cell>
        </row>
        <row r="2011">
          <cell r="B2011">
            <v>560649</v>
          </cell>
          <cell r="C2011" t="str">
            <v>AHHL-2589</v>
          </cell>
          <cell r="D2011" t="str">
            <v>Ashraful Islam</v>
          </cell>
          <cell r="E2011">
            <v>560649</v>
          </cell>
          <cell r="F2011" t="str">
            <v>Sales</v>
          </cell>
          <cell r="G2011" t="str">
            <v>Territory Sales Manager</v>
          </cell>
        </row>
        <row r="2012">
          <cell r="B2012">
            <v>561104</v>
          </cell>
          <cell r="C2012" t="str">
            <v>AHHL-2614</v>
          </cell>
          <cell r="D2012" t="str">
            <v>Hasibul Hasan</v>
          </cell>
          <cell r="E2012">
            <v>561104</v>
          </cell>
          <cell r="F2012" t="str">
            <v>Sales</v>
          </cell>
          <cell r="G2012" t="str">
            <v>Territory Sales Manager</v>
          </cell>
        </row>
        <row r="2013">
          <cell r="B2013">
            <v>561107</v>
          </cell>
          <cell r="C2013" t="str">
            <v>AHHL-2613</v>
          </cell>
          <cell r="D2013" t="str">
            <v>Rafatuzzaman</v>
          </cell>
          <cell r="E2013">
            <v>561107</v>
          </cell>
          <cell r="F2013" t="str">
            <v>Distribution</v>
          </cell>
          <cell r="G2013" t="str">
            <v>Junior Executive</v>
          </cell>
        </row>
        <row r="2014">
          <cell r="B2014">
            <v>561131</v>
          </cell>
          <cell r="C2014" t="str">
            <v>AHHL-2612</v>
          </cell>
          <cell r="D2014" t="str">
            <v>Pavel Golder</v>
          </cell>
          <cell r="E2014">
            <v>561131</v>
          </cell>
          <cell r="F2014" t="str">
            <v>Sales</v>
          </cell>
          <cell r="G2014" t="str">
            <v>Territory Sales Manager</v>
          </cell>
        </row>
        <row r="2015">
          <cell r="B2015">
            <v>561132</v>
          </cell>
          <cell r="C2015" t="str">
            <v>AHHL-2616</v>
          </cell>
          <cell r="D2015" t="str">
            <v>Bacchu Mia</v>
          </cell>
          <cell r="E2015">
            <v>561132</v>
          </cell>
          <cell r="F2015" t="str">
            <v>Sales</v>
          </cell>
          <cell r="G2015" t="str">
            <v>Territory Sales Manager</v>
          </cell>
        </row>
        <row r="2016">
          <cell r="B2016">
            <v>561226</v>
          </cell>
          <cell r="C2016" t="str">
            <v>AHHL-2621</v>
          </cell>
          <cell r="D2016" t="str">
            <v>Nazmul Hasan</v>
          </cell>
          <cell r="E2016">
            <v>561226</v>
          </cell>
          <cell r="F2016" t="str">
            <v>Distribution</v>
          </cell>
          <cell r="G2016" t="str">
            <v>Junior Executive</v>
          </cell>
        </row>
        <row r="2017">
          <cell r="B2017">
            <v>561251</v>
          </cell>
          <cell r="C2017" t="str">
            <v>AHHL(F)-112</v>
          </cell>
          <cell r="D2017" t="str">
            <v>Md. Babul Hossen</v>
          </cell>
          <cell r="E2017">
            <v>561251</v>
          </cell>
          <cell r="F2017" t="str">
            <v>Quality Control</v>
          </cell>
          <cell r="G2017" t="str">
            <v>Executive</v>
          </cell>
        </row>
        <row r="2018">
          <cell r="B2018">
            <v>561351</v>
          </cell>
          <cell r="C2018" t="str">
            <v>AHHL-2625</v>
          </cell>
          <cell r="D2018" t="str">
            <v>Saiful Islam</v>
          </cell>
          <cell r="E2018">
            <v>561351</v>
          </cell>
          <cell r="F2018" t="str">
            <v>Distribution</v>
          </cell>
          <cell r="G2018" t="str">
            <v>Junior Executive</v>
          </cell>
        </row>
        <row r="2019">
          <cell r="B2019">
            <v>561381</v>
          </cell>
          <cell r="C2019" t="str">
            <v>AHHL-2632</v>
          </cell>
          <cell r="D2019" t="str">
            <v>Md. Abul Hasan</v>
          </cell>
          <cell r="E2019">
            <v>561381</v>
          </cell>
          <cell r="F2019" t="str">
            <v>Sales</v>
          </cell>
          <cell r="G2019" t="str">
            <v>Territory Sales Manager</v>
          </cell>
        </row>
        <row r="2020">
          <cell r="B2020">
            <v>561554</v>
          </cell>
          <cell r="C2020" t="str">
            <v>AHHL-2649</v>
          </cell>
          <cell r="D2020" t="str">
            <v>Rafsun Jamil</v>
          </cell>
          <cell r="E2020">
            <v>561554</v>
          </cell>
          <cell r="F2020" t="str">
            <v>Sales</v>
          </cell>
          <cell r="G2020" t="str">
            <v>Territory Sales Manager</v>
          </cell>
        </row>
        <row r="2021">
          <cell r="B2021">
            <v>561850</v>
          </cell>
          <cell r="C2021" t="str">
            <v>AHHL-2662</v>
          </cell>
          <cell r="D2021" t="str">
            <v>Md. Jakaria</v>
          </cell>
          <cell r="E2021">
            <v>561850</v>
          </cell>
          <cell r="F2021" t="str">
            <v>Sales</v>
          </cell>
          <cell r="G2021" t="str">
            <v>Territory Sales Manager</v>
          </cell>
        </row>
        <row r="2022">
          <cell r="B2022">
            <v>561942</v>
          </cell>
          <cell r="C2022" t="str">
            <v>AHHL(F)-119</v>
          </cell>
          <cell r="D2022" t="str">
            <v>Md. Maniruzzaman</v>
          </cell>
          <cell r="E2022">
            <v>561942</v>
          </cell>
          <cell r="F2022" t="str">
            <v>Production Planning and Inventory Control</v>
          </cell>
          <cell r="G2022" t="str">
            <v>Executive</v>
          </cell>
        </row>
        <row r="2023">
          <cell r="B2023">
            <v>562635</v>
          </cell>
          <cell r="C2023" t="str">
            <v>AHHL-2700</v>
          </cell>
          <cell r="D2023" t="str">
            <v>Md. Habibur Rahman</v>
          </cell>
          <cell r="E2023">
            <v>562635</v>
          </cell>
          <cell r="F2023" t="str">
            <v>Sales</v>
          </cell>
          <cell r="G2023" t="str">
            <v>Senior Territory Sales Manager</v>
          </cell>
        </row>
        <row r="2024">
          <cell r="B2024">
            <v>562686</v>
          </cell>
          <cell r="C2024" t="str">
            <v>AHHL-2701</v>
          </cell>
          <cell r="D2024" t="str">
            <v>Md. Sazzad Hossain</v>
          </cell>
          <cell r="E2024">
            <v>562686</v>
          </cell>
          <cell r="F2024" t="str">
            <v>Sales</v>
          </cell>
          <cell r="G2024" t="str">
            <v>Territory Sales Manager</v>
          </cell>
        </row>
        <row r="2025">
          <cell r="B2025">
            <v>562688</v>
          </cell>
          <cell r="C2025" t="str">
            <v>AHHL-2702</v>
          </cell>
          <cell r="D2025" t="str">
            <v>Md. Rasel Parves</v>
          </cell>
          <cell r="E2025">
            <v>562688</v>
          </cell>
          <cell r="F2025" t="str">
            <v>Sales</v>
          </cell>
          <cell r="G2025" t="str">
            <v>Area Sales Manager</v>
          </cell>
        </row>
        <row r="2026">
          <cell r="B2026">
            <v>562692</v>
          </cell>
          <cell r="C2026" t="str">
            <v>AHHL-2703</v>
          </cell>
          <cell r="D2026" t="str">
            <v>Md. Saad</v>
          </cell>
          <cell r="E2026">
            <v>562692</v>
          </cell>
          <cell r="F2026" t="str">
            <v>Sales</v>
          </cell>
          <cell r="G2026" t="str">
            <v>Junior Executive</v>
          </cell>
        </row>
        <row r="2027">
          <cell r="B2027">
            <v>562861</v>
          </cell>
          <cell r="C2027" t="str">
            <v>AHHL-2707</v>
          </cell>
          <cell r="D2027" t="str">
            <v>Purno pritom Sinha</v>
          </cell>
          <cell r="E2027">
            <v>562861</v>
          </cell>
          <cell r="F2027" t="str">
            <v>Sales Monitoring &amp; Tracking</v>
          </cell>
          <cell r="G2027" t="str">
            <v>Executive</v>
          </cell>
        </row>
        <row r="2028">
          <cell r="B2028">
            <v>562862</v>
          </cell>
          <cell r="C2028" t="str">
            <v>AHHL-2708</v>
          </cell>
          <cell r="D2028" t="str">
            <v>Md. Eyasin Alam</v>
          </cell>
          <cell r="E2028">
            <v>562862</v>
          </cell>
          <cell r="F2028" t="str">
            <v>Sales Monitoring &amp; Tracking</v>
          </cell>
          <cell r="G2028" t="str">
            <v>Executive</v>
          </cell>
        </row>
        <row r="2029">
          <cell r="B2029">
            <v>563053</v>
          </cell>
          <cell r="C2029" t="str">
            <v>AHHL(F)-129</v>
          </cell>
          <cell r="D2029" t="str">
            <v>Md Najmul Hoda</v>
          </cell>
          <cell r="E2029">
            <v>563053</v>
          </cell>
          <cell r="F2029" t="str">
            <v>Production (Liquid)</v>
          </cell>
          <cell r="G2029" t="str">
            <v>Executive</v>
          </cell>
        </row>
        <row r="2030">
          <cell r="B2030">
            <v>563155</v>
          </cell>
          <cell r="C2030" t="str">
            <v>AHHL-2716</v>
          </cell>
          <cell r="D2030" t="str">
            <v>Md. Imran Hossain</v>
          </cell>
          <cell r="E2030">
            <v>563155</v>
          </cell>
          <cell r="F2030" t="str">
            <v>Distribution</v>
          </cell>
          <cell r="G2030" t="str">
            <v>Junior Executive</v>
          </cell>
        </row>
        <row r="2031">
          <cell r="B2031">
            <v>563255</v>
          </cell>
          <cell r="C2031" t="str">
            <v>AHHL-2719</v>
          </cell>
          <cell r="D2031" t="str">
            <v>Md. Rabiul Islam</v>
          </cell>
          <cell r="E2031">
            <v>563255</v>
          </cell>
          <cell r="F2031" t="str">
            <v>Sales</v>
          </cell>
          <cell r="G2031" t="str">
            <v>Territory Sales Manager</v>
          </cell>
        </row>
        <row r="2032">
          <cell r="B2032">
            <v>563311</v>
          </cell>
          <cell r="C2032" t="str">
            <v>AHHL-2720</v>
          </cell>
          <cell r="D2032" t="str">
            <v>Shafiqur Rahman</v>
          </cell>
          <cell r="E2032">
            <v>563311</v>
          </cell>
          <cell r="F2032" t="str">
            <v>Sales</v>
          </cell>
          <cell r="G2032" t="str">
            <v>Territory Sales Manager</v>
          </cell>
        </row>
        <row r="2033">
          <cell r="B2033">
            <v>563447</v>
          </cell>
          <cell r="C2033" t="str">
            <v>AHHL-2725</v>
          </cell>
          <cell r="D2033" t="str">
            <v>Khan Sawkat Hossain</v>
          </cell>
          <cell r="E2033">
            <v>563447</v>
          </cell>
          <cell r="F2033" t="str">
            <v>Sales</v>
          </cell>
          <cell r="G2033" t="str">
            <v>Territory Sales Manager</v>
          </cell>
        </row>
        <row r="2034">
          <cell r="B2034">
            <v>563585</v>
          </cell>
          <cell r="C2034" t="str">
            <v>AHHL-2738</v>
          </cell>
          <cell r="D2034" t="str">
            <v>Gazi Md. Atikur Rahman</v>
          </cell>
          <cell r="E2034">
            <v>563585</v>
          </cell>
          <cell r="F2034" t="str">
            <v>Product Development and Quality Control</v>
          </cell>
          <cell r="G2034" t="str">
            <v>Senior Executive</v>
          </cell>
        </row>
        <row r="2035">
          <cell r="B2035">
            <v>563589</v>
          </cell>
          <cell r="C2035" t="str">
            <v>AHHL-2727</v>
          </cell>
          <cell r="D2035" t="str">
            <v>Md. Nur Quasham</v>
          </cell>
          <cell r="E2035">
            <v>563589</v>
          </cell>
          <cell r="F2035" t="str">
            <v>Sales</v>
          </cell>
          <cell r="G2035" t="str">
            <v>Area Sales Manager</v>
          </cell>
        </row>
        <row r="2036">
          <cell r="B2036">
            <v>564012</v>
          </cell>
          <cell r="C2036" t="str">
            <v>AHHL-2750</v>
          </cell>
          <cell r="D2036" t="str">
            <v>Abdullah Al Mamun</v>
          </cell>
          <cell r="E2036">
            <v>564012</v>
          </cell>
          <cell r="F2036" t="str">
            <v>Sales</v>
          </cell>
          <cell r="G2036" t="str">
            <v>Territory Sales Manager</v>
          </cell>
        </row>
        <row r="2037">
          <cell r="B2037">
            <v>1339</v>
          </cell>
          <cell r="C2037" t="str">
            <v>R569</v>
          </cell>
          <cell r="D2037" t="str">
            <v>Md. Riazul Islam</v>
          </cell>
          <cell r="E2037">
            <v>1339</v>
          </cell>
          <cell r="F2037" t="str">
            <v>Sales Admin</v>
          </cell>
          <cell r="G2037" t="str">
            <v>Assistant Manager</v>
          </cell>
        </row>
        <row r="2038">
          <cell r="B2038">
            <v>111295</v>
          </cell>
          <cell r="C2038" t="str">
            <v>R921</v>
          </cell>
          <cell r="D2038" t="str">
            <v>Mohammad Maidul Islam</v>
          </cell>
          <cell r="E2038">
            <v>111295</v>
          </cell>
          <cell r="F2038" t="str">
            <v>Operations</v>
          </cell>
          <cell r="G2038" t="str">
            <v>General Manager</v>
          </cell>
        </row>
        <row r="2039">
          <cell r="B2039">
            <v>153288</v>
          </cell>
          <cell r="C2039" t="str">
            <v>AFBL(Marketing)-1832</v>
          </cell>
          <cell r="D2039" t="str">
            <v>Zakir Hossain</v>
          </cell>
          <cell r="E2039">
            <v>153288</v>
          </cell>
          <cell r="F2039" t="str">
            <v>Sales Admin</v>
          </cell>
          <cell r="G2039" t="str">
            <v>Executive</v>
          </cell>
        </row>
        <row r="2040">
          <cell r="B2040">
            <v>380789</v>
          </cell>
          <cell r="C2040" t="str">
            <v>R1962</v>
          </cell>
          <cell r="D2040" t="str">
            <v>Md Arifur Rahman</v>
          </cell>
          <cell r="E2040">
            <v>380789</v>
          </cell>
          <cell r="F2040" t="str">
            <v>Market Audit &amp; Business Intelligence</v>
          </cell>
          <cell r="G2040" t="str">
            <v>Senior Executive</v>
          </cell>
        </row>
        <row r="2041">
          <cell r="B2041">
            <v>447065</v>
          </cell>
          <cell r="C2041" t="str">
            <v>R2196</v>
          </cell>
          <cell r="D2041" t="str">
            <v>Syeda Zahedun Nesa</v>
          </cell>
          <cell r="E2041">
            <v>447065</v>
          </cell>
          <cell r="F2041" t="str">
            <v>Operations</v>
          </cell>
          <cell r="G2041" t="str">
            <v>Assistant Manager</v>
          </cell>
        </row>
        <row r="2042">
          <cell r="B2042">
            <v>451513</v>
          </cell>
          <cell r="C2042" t="str">
            <v>R2205</v>
          </cell>
          <cell r="D2042" t="str">
            <v>Md. Alamin</v>
          </cell>
          <cell r="E2042">
            <v>451513</v>
          </cell>
          <cell r="F2042" t="str">
            <v>Market Audit &amp; Business Intelligence</v>
          </cell>
          <cell r="G2042" t="str">
            <v>Senior Executive</v>
          </cell>
        </row>
        <row r="2043">
          <cell r="B2043">
            <v>503329</v>
          </cell>
          <cell r="C2043" t="str">
            <v>R2595</v>
          </cell>
          <cell r="D2043" t="str">
            <v>Md. Mustafizur Rahaman</v>
          </cell>
          <cell r="E2043">
            <v>503329</v>
          </cell>
          <cell r="F2043" t="str">
            <v>Commercial</v>
          </cell>
          <cell r="G2043" t="str">
            <v>Senior Manager</v>
          </cell>
        </row>
        <row r="2044">
          <cell r="B2044">
            <v>525103</v>
          </cell>
          <cell r="C2044" t="str">
            <v>AVL-R26</v>
          </cell>
          <cell r="D2044" t="str">
            <v>Md. Abul Kalam Azad</v>
          </cell>
          <cell r="E2044">
            <v>525103</v>
          </cell>
          <cell r="F2044" t="str">
            <v>Supply Chain</v>
          </cell>
          <cell r="G2044" t="str">
            <v>Assistant General Manager</v>
          </cell>
        </row>
        <row r="2045">
          <cell r="B2045">
            <v>527267</v>
          </cell>
          <cell r="C2045" t="str">
            <v>AVL-R45</v>
          </cell>
          <cell r="D2045" t="str">
            <v>S.M.A. Awal</v>
          </cell>
          <cell r="E2045">
            <v>527267</v>
          </cell>
          <cell r="F2045" t="str">
            <v>Operations</v>
          </cell>
          <cell r="G2045" t="str">
            <v>Assistant General Manager</v>
          </cell>
        </row>
        <row r="2046">
          <cell r="B2046">
            <v>527823</v>
          </cell>
          <cell r="C2046" t="str">
            <v>AVL-R53</v>
          </cell>
          <cell r="D2046" t="str">
            <v>Asaduzzaman</v>
          </cell>
          <cell r="E2046">
            <v>527823</v>
          </cell>
          <cell r="F2046" t="str">
            <v>Operations</v>
          </cell>
          <cell r="G2046" t="str">
            <v>Senior Manager</v>
          </cell>
        </row>
        <row r="2047">
          <cell r="B2047">
            <v>529669</v>
          </cell>
          <cell r="C2047" t="str">
            <v>AVL-77</v>
          </cell>
          <cell r="D2047" t="str">
            <v>Lamia Afrin</v>
          </cell>
          <cell r="E2047">
            <v>529669</v>
          </cell>
          <cell r="F2047" t="str">
            <v>Sales Admin</v>
          </cell>
          <cell r="G2047" t="str">
            <v>Senior Executive</v>
          </cell>
        </row>
        <row r="2048">
          <cell r="B2048">
            <v>530848</v>
          </cell>
          <cell r="C2048" t="str">
            <v>FR4292</v>
          </cell>
          <cell r="D2048" t="str">
            <v>Liton Hosen</v>
          </cell>
          <cell r="E2048">
            <v>530848</v>
          </cell>
          <cell r="F2048" t="str">
            <v>Quality Control</v>
          </cell>
          <cell r="G2048" t="str">
            <v>Deputy Manager</v>
          </cell>
        </row>
        <row r="2049">
          <cell r="B2049">
            <v>531309</v>
          </cell>
          <cell r="C2049" t="str">
            <v>FR4351</v>
          </cell>
          <cell r="D2049" t="str">
            <v>Md. Harun Or Rashid</v>
          </cell>
          <cell r="E2049">
            <v>531309</v>
          </cell>
          <cell r="F2049" t="str">
            <v>Production (E&amp;E)</v>
          </cell>
          <cell r="G2049" t="str">
            <v>Assistant Manager</v>
          </cell>
        </row>
        <row r="2050">
          <cell r="B2050">
            <v>535977</v>
          </cell>
          <cell r="C2050" t="str">
            <v>AEEL-08</v>
          </cell>
          <cell r="D2050" t="str">
            <v>K.M Aminul Haque</v>
          </cell>
          <cell r="E2050">
            <v>535977</v>
          </cell>
          <cell r="F2050" t="str">
            <v>Sales Admin</v>
          </cell>
          <cell r="G2050" t="str">
            <v>Senior Executive</v>
          </cell>
        </row>
        <row r="2051">
          <cell r="B2051">
            <v>537661</v>
          </cell>
          <cell r="C2051" t="str">
            <v>FR4986</v>
          </cell>
          <cell r="D2051" t="str">
            <v xml:space="preserve">Dipti Rani Shill </v>
          </cell>
          <cell r="E2051">
            <v>537661</v>
          </cell>
          <cell r="F2051" t="str">
            <v>Quality Control</v>
          </cell>
          <cell r="G2051" t="str">
            <v>Junior Executive</v>
          </cell>
        </row>
        <row r="2052">
          <cell r="B2052">
            <v>538109</v>
          </cell>
          <cell r="C2052" t="str">
            <v>FR5030</v>
          </cell>
          <cell r="D2052" t="str">
            <v>Md. Rabiul Islam</v>
          </cell>
          <cell r="E2052">
            <v>538109</v>
          </cell>
          <cell r="F2052" t="str">
            <v>Production (E&amp;E)</v>
          </cell>
          <cell r="G2052" t="str">
            <v>Executive</v>
          </cell>
        </row>
        <row r="2053">
          <cell r="B2053">
            <v>538181</v>
          </cell>
          <cell r="C2053" t="str">
            <v>AEEL-10</v>
          </cell>
          <cell r="D2053" t="str">
            <v>Md. Tushar Khan</v>
          </cell>
          <cell r="E2053">
            <v>538181</v>
          </cell>
          <cell r="F2053" t="str">
            <v>Sales</v>
          </cell>
          <cell r="G2053" t="str">
            <v>Territory Sales Manager</v>
          </cell>
        </row>
        <row r="2054">
          <cell r="B2054">
            <v>538182</v>
          </cell>
          <cell r="C2054" t="str">
            <v>AEEL-11</v>
          </cell>
          <cell r="D2054" t="str">
            <v>Md Golam Kader</v>
          </cell>
          <cell r="E2054">
            <v>538182</v>
          </cell>
          <cell r="F2054" t="str">
            <v>Sales</v>
          </cell>
          <cell r="G2054" t="str">
            <v>Senior Regional Sales Manager</v>
          </cell>
        </row>
        <row r="2055">
          <cell r="B2055">
            <v>538183</v>
          </cell>
          <cell r="C2055" t="str">
            <v>AEEL-12</v>
          </cell>
          <cell r="D2055" t="str">
            <v>Md. Abdul Alim</v>
          </cell>
          <cell r="E2055">
            <v>538183</v>
          </cell>
          <cell r="F2055" t="str">
            <v>Sales</v>
          </cell>
          <cell r="G2055" t="str">
            <v>Senior Regional Sales Manager</v>
          </cell>
        </row>
        <row r="2056">
          <cell r="B2056">
            <v>538186</v>
          </cell>
          <cell r="C2056" t="str">
            <v>AEEL-14</v>
          </cell>
          <cell r="D2056" t="str">
            <v>Md Jhangir Alam</v>
          </cell>
          <cell r="E2056">
            <v>538186</v>
          </cell>
          <cell r="F2056" t="str">
            <v>Sales</v>
          </cell>
          <cell r="G2056" t="str">
            <v>Area Sales Manager</v>
          </cell>
        </row>
        <row r="2057">
          <cell r="B2057">
            <v>538231</v>
          </cell>
          <cell r="C2057" t="str">
            <v>FR5054</v>
          </cell>
          <cell r="D2057" t="str">
            <v>Amit Sarker</v>
          </cell>
          <cell r="E2057">
            <v>538231</v>
          </cell>
          <cell r="F2057" t="str">
            <v>Store</v>
          </cell>
          <cell r="G2057" t="str">
            <v>Senior Executive</v>
          </cell>
        </row>
        <row r="2058">
          <cell r="B2058">
            <v>538511</v>
          </cell>
          <cell r="C2058" t="str">
            <v>AEEL-36</v>
          </cell>
          <cell r="D2058" t="str">
            <v>Md. Sirajul Islam</v>
          </cell>
          <cell r="E2058">
            <v>538511</v>
          </cell>
          <cell r="F2058" t="str">
            <v>Sales</v>
          </cell>
          <cell r="G2058" t="str">
            <v>Territory Sales Manager</v>
          </cell>
        </row>
        <row r="2059">
          <cell r="B2059">
            <v>538513</v>
          </cell>
          <cell r="C2059" t="str">
            <v>AEEL-37</v>
          </cell>
          <cell r="D2059" t="str">
            <v>Md. Nasirul Alam</v>
          </cell>
          <cell r="E2059">
            <v>538513</v>
          </cell>
          <cell r="F2059" t="str">
            <v>Sales</v>
          </cell>
          <cell r="G2059" t="str">
            <v>Area Sales Manager</v>
          </cell>
        </row>
        <row r="2060">
          <cell r="B2060">
            <v>538933</v>
          </cell>
          <cell r="C2060" t="str">
            <v>AEEL-42</v>
          </cell>
          <cell r="D2060" t="str">
            <v>Md. Abdul Karim</v>
          </cell>
          <cell r="E2060">
            <v>538933</v>
          </cell>
          <cell r="F2060" t="str">
            <v>Sales</v>
          </cell>
          <cell r="G2060" t="str">
            <v>Regional Sales Manager</v>
          </cell>
        </row>
        <row r="2061">
          <cell r="B2061">
            <v>539260</v>
          </cell>
          <cell r="C2061" t="str">
            <v>FR5139</v>
          </cell>
          <cell r="D2061" t="str">
            <v>Md. Mahafuz Anam</v>
          </cell>
          <cell r="E2061">
            <v>539260</v>
          </cell>
          <cell r="F2061" t="str">
            <v>Quality Control</v>
          </cell>
          <cell r="G2061" t="str">
            <v>Junior Executive</v>
          </cell>
        </row>
        <row r="2062">
          <cell r="B2062">
            <v>539373</v>
          </cell>
          <cell r="C2062" t="str">
            <v>AEEL-67</v>
          </cell>
          <cell r="D2062" t="str">
            <v>Md Mahadi Hasan</v>
          </cell>
          <cell r="E2062">
            <v>539373</v>
          </cell>
          <cell r="F2062" t="str">
            <v>Sales</v>
          </cell>
          <cell r="G2062" t="str">
            <v>Territory Sales Manager</v>
          </cell>
        </row>
        <row r="2063">
          <cell r="B2063">
            <v>539387</v>
          </cell>
          <cell r="C2063" t="str">
            <v>AEEL-70</v>
          </cell>
          <cell r="D2063" t="str">
            <v>Md Rakibul Islam</v>
          </cell>
          <cell r="E2063">
            <v>539387</v>
          </cell>
          <cell r="F2063" t="str">
            <v>Sales</v>
          </cell>
          <cell r="G2063" t="str">
            <v>Territory Sales Manager</v>
          </cell>
        </row>
        <row r="2064">
          <cell r="B2064">
            <v>539389</v>
          </cell>
          <cell r="C2064" t="str">
            <v>AEEL-72</v>
          </cell>
          <cell r="D2064" t="str">
            <v>Md Sajedul Islam</v>
          </cell>
          <cell r="E2064">
            <v>539389</v>
          </cell>
          <cell r="F2064" t="str">
            <v>Sales</v>
          </cell>
          <cell r="G2064" t="str">
            <v>Regional Sales Manager</v>
          </cell>
        </row>
        <row r="2065">
          <cell r="B2065">
            <v>539488</v>
          </cell>
          <cell r="C2065" t="str">
            <v>AEEL-78</v>
          </cell>
          <cell r="D2065" t="str">
            <v>Md Shajahan Ali</v>
          </cell>
          <cell r="E2065">
            <v>539488</v>
          </cell>
          <cell r="F2065" t="str">
            <v>Sales</v>
          </cell>
          <cell r="G2065" t="str">
            <v>Regional Sales Manager</v>
          </cell>
        </row>
        <row r="2066">
          <cell r="B2066">
            <v>540190</v>
          </cell>
          <cell r="C2066" t="str">
            <v>AEEL-147</v>
          </cell>
          <cell r="D2066" t="str">
            <v xml:space="preserve">Jahangir Alam </v>
          </cell>
          <cell r="E2066">
            <v>540190</v>
          </cell>
          <cell r="F2066" t="str">
            <v>Institutional Sales</v>
          </cell>
          <cell r="G2066" t="str">
            <v>Assistant Manager</v>
          </cell>
        </row>
        <row r="2067">
          <cell r="B2067">
            <v>540441</v>
          </cell>
          <cell r="C2067" t="str">
            <v>AEEL-158</v>
          </cell>
          <cell r="D2067" t="str">
            <v>Mizanur Rahman</v>
          </cell>
          <cell r="E2067">
            <v>540441</v>
          </cell>
          <cell r="F2067" t="str">
            <v>Sales</v>
          </cell>
          <cell r="G2067" t="str">
            <v>Area Sales Manager</v>
          </cell>
        </row>
        <row r="2068">
          <cell r="B2068">
            <v>540735</v>
          </cell>
          <cell r="C2068" t="str">
            <v>AEEL-176</v>
          </cell>
          <cell r="D2068" t="str">
            <v>MD. Shakil Hossen</v>
          </cell>
          <cell r="E2068">
            <v>540735</v>
          </cell>
          <cell r="F2068" t="str">
            <v>Sales</v>
          </cell>
          <cell r="G2068" t="str">
            <v>Junior Executive</v>
          </cell>
        </row>
        <row r="2069">
          <cell r="B2069">
            <v>541172</v>
          </cell>
          <cell r="C2069" t="str">
            <v>FR5281</v>
          </cell>
          <cell r="D2069" t="str">
            <v xml:space="preserve">Md.Rasheduzzaman </v>
          </cell>
          <cell r="E2069">
            <v>541172</v>
          </cell>
          <cell r="F2069" t="str">
            <v>Distribution</v>
          </cell>
          <cell r="G2069" t="str">
            <v>Executive</v>
          </cell>
        </row>
        <row r="2070">
          <cell r="B2070">
            <v>542856</v>
          </cell>
          <cell r="C2070" t="str">
            <v>AEEL-273</v>
          </cell>
          <cell r="D2070" t="str">
            <v>Afzal Hossain</v>
          </cell>
          <cell r="E2070">
            <v>542856</v>
          </cell>
          <cell r="F2070" t="str">
            <v>Sales</v>
          </cell>
          <cell r="G2070" t="str">
            <v>Area Sales Manager</v>
          </cell>
        </row>
        <row r="2071">
          <cell r="B2071">
            <v>544485</v>
          </cell>
          <cell r="C2071" t="str">
            <v>AHHL-1491</v>
          </cell>
          <cell r="D2071" t="str">
            <v>Nazmul Hossain</v>
          </cell>
          <cell r="E2071">
            <v>544485</v>
          </cell>
          <cell r="F2071" t="str">
            <v>Accounts And Finance</v>
          </cell>
          <cell r="G2071" t="str">
            <v>Senior Executive</v>
          </cell>
        </row>
        <row r="2072">
          <cell r="B2072">
            <v>546085</v>
          </cell>
          <cell r="C2072" t="str">
            <v>AEEL-375</v>
          </cell>
          <cell r="D2072" t="str">
            <v>Md. Atiqur Rahman</v>
          </cell>
          <cell r="E2072">
            <v>546085</v>
          </cell>
          <cell r="F2072" t="str">
            <v>Sales</v>
          </cell>
          <cell r="G2072" t="str">
            <v>Junior Executive</v>
          </cell>
        </row>
        <row r="2073">
          <cell r="B2073">
            <v>546108</v>
          </cell>
          <cell r="C2073" t="str">
            <v>AEEL-393</v>
          </cell>
          <cell r="D2073" t="str">
            <v>Nayan Bairagi</v>
          </cell>
          <cell r="E2073">
            <v>546108</v>
          </cell>
          <cell r="F2073" t="str">
            <v>Sales</v>
          </cell>
          <cell r="G2073" t="str">
            <v>Junior Executive</v>
          </cell>
        </row>
        <row r="2074">
          <cell r="B2074">
            <v>546638</v>
          </cell>
          <cell r="C2074" t="str">
            <v>AEEL-409</v>
          </cell>
          <cell r="D2074" t="str">
            <v>Tapon Panday</v>
          </cell>
          <cell r="E2074">
            <v>546638</v>
          </cell>
          <cell r="F2074" t="str">
            <v>Sales</v>
          </cell>
          <cell r="G2074" t="str">
            <v>Area Sales Manager</v>
          </cell>
        </row>
        <row r="2075">
          <cell r="B2075">
            <v>546702</v>
          </cell>
          <cell r="C2075" t="str">
            <v>AEEL-411</v>
          </cell>
          <cell r="D2075" t="str">
            <v>Amit Kumar Paul</v>
          </cell>
          <cell r="E2075">
            <v>546702</v>
          </cell>
          <cell r="F2075" t="str">
            <v>Sales</v>
          </cell>
          <cell r="G2075" t="str">
            <v>Area Sales Manager</v>
          </cell>
        </row>
        <row r="2076">
          <cell r="B2076">
            <v>548636</v>
          </cell>
          <cell r="C2076" t="str">
            <v>AEEL-443</v>
          </cell>
          <cell r="D2076" t="str">
            <v>Md. Raju</v>
          </cell>
          <cell r="E2076">
            <v>548636</v>
          </cell>
          <cell r="F2076" t="str">
            <v>Sales</v>
          </cell>
          <cell r="G2076" t="str">
            <v>Area Sales Manager</v>
          </cell>
        </row>
        <row r="2077">
          <cell r="B2077">
            <v>549025</v>
          </cell>
          <cell r="C2077" t="str">
            <v>AFBL-R3392</v>
          </cell>
          <cell r="D2077" t="str">
            <v>Md. Junayed Hossain</v>
          </cell>
          <cell r="E2077">
            <v>549025</v>
          </cell>
          <cell r="F2077" t="str">
            <v>Supply Chain</v>
          </cell>
          <cell r="G2077" t="str">
            <v>Assistant Manager</v>
          </cell>
        </row>
        <row r="2078">
          <cell r="B2078">
            <v>549499</v>
          </cell>
          <cell r="C2078" t="str">
            <v>AHHL-1802</v>
          </cell>
          <cell r="D2078" t="str">
            <v>Md. Anwar Kabir</v>
          </cell>
          <cell r="E2078">
            <v>549499</v>
          </cell>
          <cell r="F2078" t="str">
            <v>Finance &amp; Accounts</v>
          </cell>
          <cell r="G2078" t="str">
            <v>Executive</v>
          </cell>
        </row>
        <row r="2079">
          <cell r="B2079">
            <v>550331</v>
          </cell>
          <cell r="C2079" t="str">
            <v>AEEL-489</v>
          </cell>
          <cell r="D2079" t="str">
            <v>Animesh Das</v>
          </cell>
          <cell r="E2079">
            <v>550331</v>
          </cell>
          <cell r="F2079" t="str">
            <v>Distribution</v>
          </cell>
          <cell r="G2079" t="str">
            <v>Executive</v>
          </cell>
        </row>
        <row r="2080">
          <cell r="B2080">
            <v>550514</v>
          </cell>
          <cell r="C2080" t="str">
            <v>AEEL-493</v>
          </cell>
          <cell r="D2080" t="str">
            <v>Md. Bayzid</v>
          </cell>
          <cell r="E2080">
            <v>550514</v>
          </cell>
          <cell r="F2080" t="str">
            <v>Distribution</v>
          </cell>
          <cell r="G2080" t="str">
            <v>Assistant Manager</v>
          </cell>
        </row>
        <row r="2081">
          <cell r="B2081">
            <v>551052</v>
          </cell>
          <cell r="C2081" t="str">
            <v>AEEL-516</v>
          </cell>
          <cell r="D2081" t="str">
            <v>Md. Sohanur Rahman</v>
          </cell>
          <cell r="E2081">
            <v>551052</v>
          </cell>
          <cell r="F2081" t="str">
            <v>Supply Chain</v>
          </cell>
          <cell r="G2081" t="str">
            <v>Executive</v>
          </cell>
        </row>
        <row r="2082">
          <cell r="B2082">
            <v>552973</v>
          </cell>
          <cell r="C2082" t="str">
            <v>AEEL(Hob)-02</v>
          </cell>
          <cell r="D2082" t="str">
            <v>Md Abu Bakkr Siddik</v>
          </cell>
          <cell r="E2082">
            <v>552973</v>
          </cell>
          <cell r="F2082" t="str">
            <v>Production (E&amp;E)</v>
          </cell>
          <cell r="G2082" t="str">
            <v>Deputy Manager</v>
          </cell>
        </row>
        <row r="2083">
          <cell r="B2083">
            <v>553050</v>
          </cell>
          <cell r="C2083" t="str">
            <v>AEEL-605</v>
          </cell>
          <cell r="D2083" t="str">
            <v>Md. Khabir Uddin Chowdhury</v>
          </cell>
          <cell r="E2083">
            <v>553050</v>
          </cell>
          <cell r="F2083" t="str">
            <v>Sales</v>
          </cell>
          <cell r="G2083" t="str">
            <v>Area Sales Manager</v>
          </cell>
        </row>
        <row r="2084">
          <cell r="B2084">
            <v>553062</v>
          </cell>
          <cell r="C2084" t="str">
            <v>AEEL-606</v>
          </cell>
          <cell r="D2084" t="str">
            <v>Md. Rakibul Hasan</v>
          </cell>
          <cell r="E2084">
            <v>553062</v>
          </cell>
          <cell r="F2084" t="str">
            <v>Operations</v>
          </cell>
          <cell r="G2084" t="str">
            <v>Deputy Manager</v>
          </cell>
        </row>
        <row r="2085">
          <cell r="B2085">
            <v>553223</v>
          </cell>
          <cell r="C2085" t="str">
            <v>AEEL-609</v>
          </cell>
          <cell r="D2085" t="str">
            <v>Shihab Uddin</v>
          </cell>
          <cell r="E2085">
            <v>553223</v>
          </cell>
          <cell r="F2085" t="str">
            <v>Supply Chain</v>
          </cell>
          <cell r="G2085" t="str">
            <v>Senior Executive</v>
          </cell>
        </row>
        <row r="2086">
          <cell r="B2086">
            <v>553341</v>
          </cell>
          <cell r="C2086" t="str">
            <v>AEEL-613</v>
          </cell>
          <cell r="D2086" t="str">
            <v>Amdaduzzaman Razun</v>
          </cell>
          <cell r="E2086">
            <v>553341</v>
          </cell>
          <cell r="F2086" t="str">
            <v>Distribution</v>
          </cell>
          <cell r="G2086" t="str">
            <v>Junior Executive</v>
          </cell>
        </row>
        <row r="2087">
          <cell r="B2087">
            <v>553342</v>
          </cell>
          <cell r="C2087" t="str">
            <v>AEEL-614</v>
          </cell>
          <cell r="D2087" t="str">
            <v>Mehedi Hasan</v>
          </cell>
          <cell r="E2087">
            <v>553342</v>
          </cell>
          <cell r="F2087" t="str">
            <v>Distribution</v>
          </cell>
          <cell r="G2087" t="str">
            <v>Junior Executive</v>
          </cell>
        </row>
        <row r="2088">
          <cell r="B2088">
            <v>553439</v>
          </cell>
          <cell r="C2088" t="str">
            <v>AEEL-615</v>
          </cell>
          <cell r="D2088" t="str">
            <v>SK. Nahid Hasan</v>
          </cell>
          <cell r="E2088">
            <v>553439</v>
          </cell>
          <cell r="F2088" t="str">
            <v>Sales</v>
          </cell>
          <cell r="G2088" t="str">
            <v>Area Sales Manager</v>
          </cell>
        </row>
        <row r="2089">
          <cell r="B2089">
            <v>553777</v>
          </cell>
          <cell r="C2089" t="str">
            <v>AEEL-627</v>
          </cell>
          <cell r="D2089" t="str">
            <v>Ayaz Mohammad Faisal</v>
          </cell>
          <cell r="E2089">
            <v>553777</v>
          </cell>
          <cell r="F2089" t="str">
            <v>Publication</v>
          </cell>
          <cell r="G2089" t="str">
            <v>Junior Executive</v>
          </cell>
        </row>
        <row r="2090">
          <cell r="B2090">
            <v>553951</v>
          </cell>
          <cell r="C2090" t="str">
            <v>AEEL(Hob)-09</v>
          </cell>
          <cell r="D2090" t="str">
            <v xml:space="preserve">Md. Enamul Haque </v>
          </cell>
          <cell r="E2090">
            <v>553951</v>
          </cell>
          <cell r="F2090" t="str">
            <v>Maintenance</v>
          </cell>
          <cell r="G2090" t="str">
            <v>Assistant Manager</v>
          </cell>
        </row>
        <row r="2091">
          <cell r="B2091">
            <v>553962</v>
          </cell>
          <cell r="C2091" t="str">
            <v>AEEL-631</v>
          </cell>
          <cell r="D2091" t="str">
            <v>Md. Mahede Ahasan</v>
          </cell>
          <cell r="E2091">
            <v>553962</v>
          </cell>
          <cell r="F2091" t="str">
            <v>Modern Trade</v>
          </cell>
          <cell r="G2091" t="str">
            <v>Executive</v>
          </cell>
        </row>
        <row r="2092">
          <cell r="B2092">
            <v>553984</v>
          </cell>
          <cell r="C2092" t="str">
            <v>AEEL-632</v>
          </cell>
          <cell r="D2092" t="str">
            <v>Md. Mojahidul Islam</v>
          </cell>
          <cell r="E2092">
            <v>553984</v>
          </cell>
          <cell r="F2092" t="str">
            <v>Maintenance</v>
          </cell>
          <cell r="G2092" t="str">
            <v>Manager</v>
          </cell>
        </row>
        <row r="2093">
          <cell r="B2093">
            <v>553987</v>
          </cell>
          <cell r="C2093" t="str">
            <v>UMFML-001</v>
          </cell>
          <cell r="D2093" t="str">
            <v>Md. Yusuf Hossain</v>
          </cell>
          <cell r="E2093">
            <v>553987</v>
          </cell>
          <cell r="F2093" t="str">
            <v>Finance &amp; Accounts</v>
          </cell>
          <cell r="G2093" t="str">
            <v>Senior Executive</v>
          </cell>
        </row>
        <row r="2094">
          <cell r="B2094">
            <v>554004</v>
          </cell>
          <cell r="C2094" t="str">
            <v>AEEL(Hob)-12</v>
          </cell>
          <cell r="D2094" t="str">
            <v>Md. Sakhawat Hossain</v>
          </cell>
          <cell r="E2094">
            <v>554004</v>
          </cell>
          <cell r="F2094" t="str">
            <v>Quality Control</v>
          </cell>
          <cell r="G2094" t="str">
            <v>Executive</v>
          </cell>
        </row>
        <row r="2095">
          <cell r="B2095">
            <v>554744</v>
          </cell>
          <cell r="C2095" t="str">
            <v>AEEL-647</v>
          </cell>
          <cell r="D2095" t="str">
            <v>Md. Mahbur Rahman</v>
          </cell>
          <cell r="E2095">
            <v>554744</v>
          </cell>
          <cell r="F2095" t="str">
            <v>Sales</v>
          </cell>
          <cell r="G2095" t="str">
            <v>Area Sales Manager</v>
          </cell>
        </row>
        <row r="2096">
          <cell r="B2096">
            <v>555678</v>
          </cell>
          <cell r="C2096" t="str">
            <v>AEEL-690</v>
          </cell>
          <cell r="D2096" t="str">
            <v>Md. Abdul Monnaf</v>
          </cell>
          <cell r="E2096">
            <v>555678</v>
          </cell>
          <cell r="F2096" t="str">
            <v>Sales</v>
          </cell>
          <cell r="G2096" t="str">
            <v>Area Sales Manager</v>
          </cell>
        </row>
        <row r="2097">
          <cell r="B2097">
            <v>555960</v>
          </cell>
          <cell r="C2097" t="str">
            <v>AEEL-703</v>
          </cell>
          <cell r="D2097" t="str">
            <v>Md. Mashiur Rahaman</v>
          </cell>
          <cell r="E2097">
            <v>555960</v>
          </cell>
          <cell r="F2097" t="str">
            <v>Sales</v>
          </cell>
          <cell r="G2097" t="str">
            <v>Area Sales Manager</v>
          </cell>
        </row>
        <row r="2098">
          <cell r="B2098">
            <v>556024</v>
          </cell>
          <cell r="C2098" t="str">
            <v>AEEL-708</v>
          </cell>
          <cell r="D2098" t="str">
            <v>Md. Tareque Ibne Hossain</v>
          </cell>
          <cell r="E2098">
            <v>556024</v>
          </cell>
          <cell r="F2098" t="str">
            <v>Sales &amp; Marketing</v>
          </cell>
          <cell r="G2098" t="str">
            <v>Deputy General Manager</v>
          </cell>
        </row>
        <row r="2099">
          <cell r="B2099">
            <v>556064</v>
          </cell>
          <cell r="C2099" t="str">
            <v>AEEL-709</v>
          </cell>
          <cell r="D2099" t="str">
            <v>Md. Dilbar Hossain</v>
          </cell>
          <cell r="E2099">
            <v>556064</v>
          </cell>
          <cell r="F2099" t="str">
            <v>Sales</v>
          </cell>
          <cell r="G2099" t="str">
            <v>Area Sales Manager</v>
          </cell>
        </row>
        <row r="2100">
          <cell r="B2100">
            <v>556456</v>
          </cell>
          <cell r="C2100" t="str">
            <v>AEEL-740</v>
          </cell>
          <cell r="D2100" t="str">
            <v>Md. Nayem Hossain</v>
          </cell>
          <cell r="E2100">
            <v>556456</v>
          </cell>
          <cell r="F2100" t="str">
            <v>Sales</v>
          </cell>
          <cell r="G2100" t="str">
            <v>Area Sales Manager</v>
          </cell>
        </row>
        <row r="2101">
          <cell r="B2101">
            <v>556513</v>
          </cell>
          <cell r="C2101" t="str">
            <v>AEEL-745</v>
          </cell>
          <cell r="D2101" t="str">
            <v>Md. Robel Hossain</v>
          </cell>
          <cell r="E2101">
            <v>556513</v>
          </cell>
          <cell r="F2101" t="str">
            <v>Finance &amp; Accounts</v>
          </cell>
          <cell r="G2101" t="str">
            <v>Executive</v>
          </cell>
        </row>
        <row r="2102">
          <cell r="B2102">
            <v>556550</v>
          </cell>
          <cell r="C2102" t="str">
            <v>AEEL-749</v>
          </cell>
          <cell r="D2102" t="str">
            <v>Md. Shahabul Islam</v>
          </cell>
          <cell r="E2102">
            <v>556550</v>
          </cell>
          <cell r="F2102" t="str">
            <v>Sales</v>
          </cell>
          <cell r="G2102" t="str">
            <v>Area Sales Manager</v>
          </cell>
        </row>
        <row r="2103">
          <cell r="B2103">
            <v>556861</v>
          </cell>
          <cell r="C2103" t="str">
            <v>AEEL-753</v>
          </cell>
          <cell r="D2103" t="str">
            <v>Khorshed Alam</v>
          </cell>
          <cell r="E2103">
            <v>556861</v>
          </cell>
          <cell r="F2103" t="str">
            <v>Sales</v>
          </cell>
          <cell r="G2103" t="str">
            <v>Area Sales Manager</v>
          </cell>
        </row>
        <row r="2104">
          <cell r="B2104">
            <v>557768</v>
          </cell>
          <cell r="C2104" t="str">
            <v>AEEL-773</v>
          </cell>
          <cell r="D2104" t="str">
            <v>Redoan Ahmmad</v>
          </cell>
          <cell r="E2104">
            <v>557768</v>
          </cell>
          <cell r="F2104" t="str">
            <v>Brand</v>
          </cell>
          <cell r="G2104" t="str">
            <v>Assistant Manager</v>
          </cell>
        </row>
        <row r="2105">
          <cell r="B2105">
            <v>557907</v>
          </cell>
          <cell r="C2105" t="str">
            <v>AEEL-777</v>
          </cell>
          <cell r="D2105" t="str">
            <v>Apurba Roy Moitra</v>
          </cell>
          <cell r="E2105">
            <v>557907</v>
          </cell>
          <cell r="F2105" t="str">
            <v>Sales</v>
          </cell>
          <cell r="G2105" t="str">
            <v>Area Sales Manager</v>
          </cell>
        </row>
        <row r="2106">
          <cell r="B2106">
            <v>557914</v>
          </cell>
          <cell r="C2106" t="str">
            <v>AEEL-778</v>
          </cell>
          <cell r="D2106" t="str">
            <v>Md. Shaifur Rahman</v>
          </cell>
          <cell r="E2106">
            <v>557914</v>
          </cell>
          <cell r="F2106" t="str">
            <v>Sales</v>
          </cell>
          <cell r="G2106" t="str">
            <v>Regional Sales Manager</v>
          </cell>
        </row>
        <row r="2107">
          <cell r="B2107">
            <v>558005</v>
          </cell>
          <cell r="C2107" t="str">
            <v>AEEL-781</v>
          </cell>
          <cell r="D2107" t="str">
            <v>Animesh Mollick</v>
          </cell>
          <cell r="E2107">
            <v>558005</v>
          </cell>
          <cell r="F2107" t="str">
            <v>Market Audit &amp; Business Intelligence</v>
          </cell>
          <cell r="G2107" t="str">
            <v>Executive</v>
          </cell>
        </row>
        <row r="2108">
          <cell r="B2108">
            <v>558006</v>
          </cell>
          <cell r="C2108" t="str">
            <v>AEEL-782</v>
          </cell>
          <cell r="D2108" t="str">
            <v>Md. Hassan Iqbal Mahmud</v>
          </cell>
          <cell r="E2108">
            <v>558006</v>
          </cell>
          <cell r="F2108" t="str">
            <v>Market Audit &amp; Business Intelligence</v>
          </cell>
          <cell r="G2108" t="str">
            <v>Executive</v>
          </cell>
        </row>
        <row r="2109">
          <cell r="B2109">
            <v>558043</v>
          </cell>
          <cell r="C2109" t="str">
            <v>AEEL-783</v>
          </cell>
          <cell r="D2109" t="str">
            <v>Nahian Bin Asadullah</v>
          </cell>
          <cell r="E2109">
            <v>558043</v>
          </cell>
          <cell r="F2109" t="str">
            <v>HR</v>
          </cell>
          <cell r="G2109" t="str">
            <v>Assistant Manager</v>
          </cell>
        </row>
        <row r="2110">
          <cell r="B2110">
            <v>558510</v>
          </cell>
          <cell r="C2110" t="str">
            <v>AEEL-787</v>
          </cell>
          <cell r="D2110" t="str">
            <v>Md. Nuruzzaman</v>
          </cell>
          <cell r="E2110">
            <v>558510</v>
          </cell>
          <cell r="F2110" t="str">
            <v>Sales</v>
          </cell>
          <cell r="G2110" t="str">
            <v>Area Sales Manager</v>
          </cell>
        </row>
        <row r="2111">
          <cell r="B2111">
            <v>558519</v>
          </cell>
          <cell r="C2111" t="str">
            <v>AEEL-790</v>
          </cell>
          <cell r="D2111" t="str">
            <v>Md. Hafizur Rahman</v>
          </cell>
          <cell r="E2111">
            <v>558519</v>
          </cell>
          <cell r="F2111" t="str">
            <v>Sales</v>
          </cell>
          <cell r="G2111" t="str">
            <v>Area Sales Manager</v>
          </cell>
        </row>
        <row r="2112">
          <cell r="B2112">
            <v>558520</v>
          </cell>
          <cell r="C2112" t="str">
            <v>AEEL-791</v>
          </cell>
          <cell r="D2112" t="str">
            <v>A.B.M. Bodiuzzaman</v>
          </cell>
          <cell r="E2112">
            <v>558520</v>
          </cell>
          <cell r="F2112" t="str">
            <v>Sales</v>
          </cell>
          <cell r="G2112" t="str">
            <v>Area Sales Manager</v>
          </cell>
        </row>
        <row r="2113">
          <cell r="B2113">
            <v>558565</v>
          </cell>
          <cell r="C2113" t="str">
            <v>AEEL-800</v>
          </cell>
          <cell r="D2113" t="str">
            <v>Md. Firoz Alam</v>
          </cell>
          <cell r="E2113">
            <v>558565</v>
          </cell>
          <cell r="F2113" t="str">
            <v>MIS</v>
          </cell>
          <cell r="G2113" t="str">
            <v>Executive</v>
          </cell>
        </row>
        <row r="2114">
          <cell r="B2114">
            <v>558609</v>
          </cell>
          <cell r="C2114" t="str">
            <v>AEEL-806</v>
          </cell>
          <cell r="D2114" t="str">
            <v>Bappa Ghosh</v>
          </cell>
          <cell r="E2114">
            <v>558609</v>
          </cell>
          <cell r="F2114" t="str">
            <v>Sales</v>
          </cell>
          <cell r="G2114" t="str">
            <v>Area Sales Manager</v>
          </cell>
        </row>
        <row r="2115">
          <cell r="B2115">
            <v>558838</v>
          </cell>
          <cell r="C2115" t="str">
            <v>AEEL-811</v>
          </cell>
          <cell r="D2115" t="str">
            <v>Md. Kamrujjaman</v>
          </cell>
          <cell r="E2115">
            <v>558838</v>
          </cell>
          <cell r="F2115" t="str">
            <v>Sales</v>
          </cell>
          <cell r="G2115" t="str">
            <v>Regional Sales Manager</v>
          </cell>
        </row>
        <row r="2116">
          <cell r="B2116">
            <v>558885</v>
          </cell>
          <cell r="C2116" t="str">
            <v>AEEL-813</v>
          </cell>
          <cell r="D2116" t="str">
            <v>Mohammed Lokman Sheikh</v>
          </cell>
          <cell r="E2116">
            <v>558885</v>
          </cell>
          <cell r="F2116" t="str">
            <v>Sales</v>
          </cell>
          <cell r="G2116" t="str">
            <v>Area Sales Manager</v>
          </cell>
        </row>
        <row r="2117">
          <cell r="B2117">
            <v>558976</v>
          </cell>
          <cell r="C2117" t="str">
            <v>AEEL-815</v>
          </cell>
          <cell r="D2117" t="str">
            <v>Md. Masum Billah</v>
          </cell>
          <cell r="E2117">
            <v>558976</v>
          </cell>
          <cell r="F2117" t="str">
            <v>Sales</v>
          </cell>
          <cell r="G2117" t="str">
            <v>Area Sales Manager</v>
          </cell>
        </row>
        <row r="2118">
          <cell r="B2118">
            <v>559273</v>
          </cell>
          <cell r="C2118" t="str">
            <v>AEEL-824</v>
          </cell>
          <cell r="D2118" t="str">
            <v>Md. Tajul Islam</v>
          </cell>
          <cell r="E2118">
            <v>559273</v>
          </cell>
          <cell r="F2118" t="str">
            <v>Sales</v>
          </cell>
          <cell r="G2118" t="str">
            <v>Area Sales Manager</v>
          </cell>
        </row>
        <row r="2119">
          <cell r="B2119">
            <v>559370</v>
          </cell>
          <cell r="C2119" t="str">
            <v>AEEL-829</v>
          </cell>
          <cell r="D2119" t="str">
            <v xml:space="preserve">Tanvir Ahmed </v>
          </cell>
          <cell r="E2119">
            <v>559370</v>
          </cell>
          <cell r="F2119" t="str">
            <v>Operations</v>
          </cell>
          <cell r="G2119" t="str">
            <v>Assistant General Manager</v>
          </cell>
        </row>
        <row r="2120">
          <cell r="B2120">
            <v>559702</v>
          </cell>
          <cell r="C2120" t="str">
            <v>AEEL-834</v>
          </cell>
          <cell r="D2120" t="str">
            <v>Md. Biplob Hossan</v>
          </cell>
          <cell r="E2120">
            <v>559702</v>
          </cell>
          <cell r="F2120" t="str">
            <v>Sales</v>
          </cell>
          <cell r="G2120" t="str">
            <v>Area Sales Manager</v>
          </cell>
        </row>
        <row r="2121">
          <cell r="B2121">
            <v>559715</v>
          </cell>
          <cell r="C2121" t="str">
            <v>AEEL-844</v>
          </cell>
          <cell r="D2121" t="str">
            <v>Md. Al Amin Hridoy</v>
          </cell>
          <cell r="E2121">
            <v>559715</v>
          </cell>
          <cell r="F2121" t="str">
            <v>Sales</v>
          </cell>
          <cell r="G2121" t="str">
            <v>Area Sales Manager</v>
          </cell>
        </row>
        <row r="2122">
          <cell r="B2122">
            <v>560603</v>
          </cell>
          <cell r="C2122" t="str">
            <v>AEEL-891</v>
          </cell>
          <cell r="D2122" t="str">
            <v>SK Mubinur Rahman</v>
          </cell>
          <cell r="E2122">
            <v>560603</v>
          </cell>
          <cell r="F2122" t="str">
            <v>Sales</v>
          </cell>
          <cell r="G2122" t="str">
            <v>Area Sales Manager</v>
          </cell>
        </row>
        <row r="2123">
          <cell r="B2123">
            <v>560630</v>
          </cell>
          <cell r="C2123" t="str">
            <v>AEEL-895</v>
          </cell>
          <cell r="D2123" t="str">
            <v>Md. Amzad Hossain</v>
          </cell>
          <cell r="E2123">
            <v>560630</v>
          </cell>
          <cell r="F2123" t="str">
            <v>Distribution</v>
          </cell>
          <cell r="G2123" t="str">
            <v>Senior Executive</v>
          </cell>
        </row>
        <row r="2124">
          <cell r="B2124">
            <v>560635</v>
          </cell>
          <cell r="C2124" t="str">
            <v>AEEL-896</v>
          </cell>
          <cell r="D2124" t="str">
            <v>Golam Mustafa</v>
          </cell>
          <cell r="E2124">
            <v>560635</v>
          </cell>
          <cell r="F2124" t="str">
            <v>Distribution</v>
          </cell>
          <cell r="G2124" t="str">
            <v>Executive</v>
          </cell>
        </row>
        <row r="2125">
          <cell r="B2125">
            <v>561111</v>
          </cell>
          <cell r="C2125" t="str">
            <v>AEEL-900</v>
          </cell>
          <cell r="D2125" t="str">
            <v>Md. Imamul Islam</v>
          </cell>
          <cell r="E2125">
            <v>561111</v>
          </cell>
          <cell r="F2125" t="str">
            <v>Sales</v>
          </cell>
          <cell r="G2125" t="str">
            <v>Area Sales Manager</v>
          </cell>
        </row>
        <row r="2126">
          <cell r="B2126">
            <v>561119</v>
          </cell>
          <cell r="C2126" t="str">
            <v>AEEL-901</v>
          </cell>
          <cell r="D2126" t="str">
            <v>Md. Shahnewaz Khan</v>
          </cell>
          <cell r="E2126">
            <v>561119</v>
          </cell>
          <cell r="F2126" t="str">
            <v>Sales</v>
          </cell>
          <cell r="G2126" t="str">
            <v>Regional Sales Manager</v>
          </cell>
        </row>
        <row r="2127">
          <cell r="B2127">
            <v>561138</v>
          </cell>
          <cell r="C2127" t="str">
            <v>AEEL-905</v>
          </cell>
          <cell r="D2127" t="str">
            <v>Md. Moniruzzaman</v>
          </cell>
          <cell r="E2127">
            <v>561138</v>
          </cell>
          <cell r="F2127" t="str">
            <v>Sales Monitoring &amp; Tracking</v>
          </cell>
          <cell r="G2127" t="str">
            <v>Executive</v>
          </cell>
        </row>
        <row r="2128">
          <cell r="B2128">
            <v>561210</v>
          </cell>
          <cell r="C2128" t="str">
            <v>AEEL-909</v>
          </cell>
          <cell r="D2128" t="str">
            <v>Rejowan Biswas</v>
          </cell>
          <cell r="E2128">
            <v>561210</v>
          </cell>
          <cell r="F2128" t="str">
            <v>Sales Monitoring &amp; Tracking</v>
          </cell>
          <cell r="G2128" t="str">
            <v>Senior Executive</v>
          </cell>
        </row>
        <row r="2129">
          <cell r="B2129">
            <v>561227</v>
          </cell>
          <cell r="C2129" t="str">
            <v>AEEL-910</v>
          </cell>
          <cell r="D2129" t="str">
            <v>Shakil Sobahane Naim</v>
          </cell>
          <cell r="E2129">
            <v>561227</v>
          </cell>
          <cell r="F2129" t="str">
            <v>Creative</v>
          </cell>
          <cell r="G2129" t="str">
            <v>Senior Executive</v>
          </cell>
        </row>
        <row r="2130">
          <cell r="B2130">
            <v>561399</v>
          </cell>
          <cell r="C2130" t="str">
            <v>AEEL-913</v>
          </cell>
          <cell r="D2130" t="str">
            <v xml:space="preserve">Md. Abdus Salam </v>
          </cell>
          <cell r="E2130">
            <v>561399</v>
          </cell>
          <cell r="F2130" t="str">
            <v>Trade Marketing</v>
          </cell>
          <cell r="G2130" t="str">
            <v>Assistant Manager</v>
          </cell>
        </row>
        <row r="2131">
          <cell r="B2131">
            <v>561628</v>
          </cell>
          <cell r="C2131" t="str">
            <v>AEEL-923</v>
          </cell>
          <cell r="D2131" t="str">
            <v>Nur Uddin</v>
          </cell>
          <cell r="E2131">
            <v>561628</v>
          </cell>
          <cell r="F2131" t="str">
            <v>Sales</v>
          </cell>
          <cell r="G2131" t="str">
            <v>Area Sales Manager</v>
          </cell>
        </row>
        <row r="2132">
          <cell r="B2132">
            <v>562424</v>
          </cell>
          <cell r="C2132" t="str">
            <v>AEEL-943</v>
          </cell>
          <cell r="D2132" t="str">
            <v>Md. Wahiduzzaman</v>
          </cell>
          <cell r="E2132">
            <v>562424</v>
          </cell>
          <cell r="F2132" t="str">
            <v>Sales</v>
          </cell>
          <cell r="G2132" t="str">
            <v>Area Sales Manager</v>
          </cell>
        </row>
        <row r="2133">
          <cell r="B2133">
            <v>562747</v>
          </cell>
          <cell r="C2133" t="str">
            <v>AEEL-955</v>
          </cell>
          <cell r="D2133" t="str">
            <v>Mollicke Mittro</v>
          </cell>
          <cell r="E2133">
            <v>562747</v>
          </cell>
          <cell r="F2133" t="str">
            <v>Production</v>
          </cell>
          <cell r="G2133" t="str">
            <v>Manager</v>
          </cell>
        </row>
        <row r="2134">
          <cell r="B2134">
            <v>562839</v>
          </cell>
          <cell r="C2134" t="str">
            <v>AEEL-964</v>
          </cell>
          <cell r="D2134" t="str">
            <v>Manik Chandra Debnath</v>
          </cell>
          <cell r="E2134">
            <v>562839</v>
          </cell>
          <cell r="F2134" t="str">
            <v>Sales</v>
          </cell>
          <cell r="G2134" t="str">
            <v>Area Sales Manager</v>
          </cell>
        </row>
        <row r="2135">
          <cell r="B2135">
            <v>563395</v>
          </cell>
          <cell r="C2135" t="str">
            <v>AEEL(Hob)-37</v>
          </cell>
          <cell r="D2135" t="str">
            <v>Md Abu Nayem Chowdhury</v>
          </cell>
          <cell r="E2135">
            <v>563395</v>
          </cell>
          <cell r="F2135" t="str">
            <v>Store</v>
          </cell>
          <cell r="G2135" t="str">
            <v>Executive</v>
          </cell>
        </row>
        <row r="2136">
          <cell r="B2136">
            <v>563446</v>
          </cell>
          <cell r="C2136" t="str">
            <v>AEEL-979</v>
          </cell>
          <cell r="D2136" t="str">
            <v>Syed Soen</v>
          </cell>
          <cell r="E2136">
            <v>563446</v>
          </cell>
          <cell r="F2136" t="str">
            <v>Sales</v>
          </cell>
          <cell r="G2136" t="str">
            <v>Area Sales Manager</v>
          </cell>
        </row>
        <row r="2137">
          <cell r="B2137">
            <v>1592</v>
          </cell>
          <cell r="C2137" t="str">
            <v>15922251416</v>
          </cell>
          <cell r="D2137" t="str">
            <v>Md. Maruf Ahmed</v>
          </cell>
          <cell r="E2137">
            <v>1592</v>
          </cell>
          <cell r="F2137" t="str">
            <v>Operations</v>
          </cell>
          <cell r="G2137" t="str">
            <v>Deputy General Manager</v>
          </cell>
        </row>
        <row r="2138">
          <cell r="B2138">
            <v>7933</v>
          </cell>
          <cell r="C2138" t="str">
            <v>79332421402</v>
          </cell>
          <cell r="D2138" t="str">
            <v>Md. Abdullah Al Mamun</v>
          </cell>
          <cell r="E2138">
            <v>7933</v>
          </cell>
          <cell r="F2138" t="str">
            <v>Accounts And Finance</v>
          </cell>
          <cell r="G2138" t="str">
            <v>Assistant Manager</v>
          </cell>
        </row>
        <row r="2139">
          <cell r="B2139">
            <v>7937</v>
          </cell>
          <cell r="C2139" t="str">
            <v>79372421421</v>
          </cell>
          <cell r="D2139" t="str">
            <v>Md. Rezaul Karim</v>
          </cell>
          <cell r="E2139">
            <v>7937</v>
          </cell>
          <cell r="F2139" t="str">
            <v>Electrical</v>
          </cell>
          <cell r="G2139" t="str">
            <v>Assistant Manager</v>
          </cell>
        </row>
        <row r="2140">
          <cell r="B2140">
            <v>240530</v>
          </cell>
          <cell r="C2140" t="str">
            <v>AGRO-199</v>
          </cell>
          <cell r="D2140" t="str">
            <v>Md. Samiul Haque</v>
          </cell>
          <cell r="E2140">
            <v>240530</v>
          </cell>
          <cell r="F2140" t="str">
            <v>Mechanical</v>
          </cell>
          <cell r="G2140" t="str">
            <v>Deputy Manager</v>
          </cell>
        </row>
        <row r="2141">
          <cell r="B2141">
            <v>241535</v>
          </cell>
          <cell r="C2141" t="str">
            <v>FR1830</v>
          </cell>
          <cell r="D2141" t="str">
            <v>Md. Kafi Mia</v>
          </cell>
          <cell r="E2141">
            <v>241535</v>
          </cell>
          <cell r="F2141" t="str">
            <v>Store</v>
          </cell>
          <cell r="G2141" t="str">
            <v>Junior Executive</v>
          </cell>
        </row>
        <row r="2142">
          <cell r="B2142">
            <v>300975</v>
          </cell>
          <cell r="C2142" t="str">
            <v>AGRO-259</v>
          </cell>
          <cell r="D2142" t="str">
            <v>Md. Joni Hossain</v>
          </cell>
          <cell r="E2142">
            <v>300975</v>
          </cell>
          <cell r="F2142" t="str">
            <v>RnD</v>
          </cell>
          <cell r="G2142" t="str">
            <v>Executive</v>
          </cell>
        </row>
        <row r="2143">
          <cell r="B2143">
            <v>366999</v>
          </cell>
          <cell r="C2143" t="str">
            <v>R1869</v>
          </cell>
          <cell r="D2143" t="str">
            <v>Mahamudur Rahman Milon</v>
          </cell>
          <cell r="E2143">
            <v>366999</v>
          </cell>
          <cell r="F2143" t="str">
            <v>Civil</v>
          </cell>
          <cell r="G2143" t="str">
            <v>Executive</v>
          </cell>
        </row>
        <row r="2144">
          <cell r="B2144">
            <v>514242</v>
          </cell>
          <cell r="C2144" t="str">
            <v>AVL-R06</v>
          </cell>
          <cell r="D2144" t="str">
            <v>Mohammad Rakib Ahmed</v>
          </cell>
          <cell r="E2144">
            <v>514242</v>
          </cell>
          <cell r="F2144" t="str">
            <v>Brand</v>
          </cell>
          <cell r="G2144" t="str">
            <v>Junior Executive</v>
          </cell>
        </row>
        <row r="2145">
          <cell r="B2145">
            <v>517348</v>
          </cell>
          <cell r="C2145" t="str">
            <v>AFBL(Marketing)-6019</v>
          </cell>
          <cell r="D2145" t="str">
            <v>Md. Jewel Rana</v>
          </cell>
          <cell r="E2145">
            <v>517348</v>
          </cell>
          <cell r="F2145" t="str">
            <v>Sales</v>
          </cell>
          <cell r="G2145" t="str">
            <v>Senior Territory Sales Manager</v>
          </cell>
        </row>
        <row r="2146">
          <cell r="B2146">
            <v>517370</v>
          </cell>
          <cell r="C2146" t="str">
            <v>AFBL(Marketing)-6037</v>
          </cell>
          <cell r="D2146" t="str">
            <v>Md. Mahabur Rahman</v>
          </cell>
          <cell r="E2146">
            <v>517370</v>
          </cell>
          <cell r="F2146" t="str">
            <v>Sales &amp; Marketing</v>
          </cell>
          <cell r="G2146" t="str">
            <v>Area Sales Manager</v>
          </cell>
        </row>
        <row r="2147">
          <cell r="B2147">
            <v>531584</v>
          </cell>
          <cell r="C2147" t="str">
            <v>AKIJ AGRO- 750</v>
          </cell>
          <cell r="D2147" t="str">
            <v>K M Rayhanul Kabir</v>
          </cell>
          <cell r="E2147">
            <v>531584</v>
          </cell>
          <cell r="F2147" t="str">
            <v>Store</v>
          </cell>
          <cell r="G2147" t="str">
            <v>Junior Executive</v>
          </cell>
        </row>
        <row r="2148">
          <cell r="B2148">
            <v>537471</v>
          </cell>
          <cell r="C2148" t="str">
            <v>AGRO-865</v>
          </cell>
          <cell r="D2148" t="str">
            <v>Waliullah</v>
          </cell>
          <cell r="E2148">
            <v>537471</v>
          </cell>
          <cell r="F2148" t="str">
            <v>Production</v>
          </cell>
          <cell r="G2148" t="str">
            <v>Senior Executive</v>
          </cell>
        </row>
        <row r="2149">
          <cell r="B2149">
            <v>539864</v>
          </cell>
          <cell r="C2149" t="str">
            <v>AALL-FR23</v>
          </cell>
          <cell r="D2149" t="str">
            <v>Noushad Ali</v>
          </cell>
          <cell r="E2149">
            <v>539864</v>
          </cell>
          <cell r="F2149" t="str">
            <v>Quality Control</v>
          </cell>
          <cell r="G2149" t="str">
            <v>Executive</v>
          </cell>
        </row>
        <row r="2150">
          <cell r="B2150">
            <v>540595</v>
          </cell>
          <cell r="C2150" t="str">
            <v>AALL-FR26</v>
          </cell>
          <cell r="D2150" t="str">
            <v>Shourav Sarkar</v>
          </cell>
          <cell r="E2150">
            <v>540595</v>
          </cell>
          <cell r="F2150" t="str">
            <v>HR &amp; Admin</v>
          </cell>
          <cell r="G2150" t="str">
            <v>Senior Executive</v>
          </cell>
        </row>
        <row r="2151">
          <cell r="B2151">
            <v>541964</v>
          </cell>
          <cell r="C2151" t="str">
            <v>AALL-29</v>
          </cell>
          <cell r="D2151" t="str">
            <v>Zayed Faysal</v>
          </cell>
          <cell r="E2151">
            <v>541964</v>
          </cell>
          <cell r="F2151" t="str">
            <v>Supply Chain</v>
          </cell>
          <cell r="G2151" t="str">
            <v>Executive</v>
          </cell>
        </row>
        <row r="2152">
          <cell r="B2152">
            <v>549715</v>
          </cell>
          <cell r="C2152" t="str">
            <v>AALL-FR36</v>
          </cell>
          <cell r="D2152" t="str">
            <v xml:space="preserve">Mst.Sajeda Khatun </v>
          </cell>
          <cell r="E2152">
            <v>549715</v>
          </cell>
          <cell r="F2152" t="str">
            <v>Admin</v>
          </cell>
          <cell r="G2152" t="str">
            <v>Junior Executive</v>
          </cell>
        </row>
        <row r="2153">
          <cell r="B2153">
            <v>549718</v>
          </cell>
          <cell r="C2153" t="str">
            <v>AALL-FR37</v>
          </cell>
          <cell r="D2153" t="str">
            <v xml:space="preserve">Ranjith Kumar Bhadra </v>
          </cell>
          <cell r="E2153">
            <v>549718</v>
          </cell>
          <cell r="F2153" t="str">
            <v>Admin</v>
          </cell>
          <cell r="G2153" t="str">
            <v>Junior Executive</v>
          </cell>
        </row>
        <row r="2154">
          <cell r="B2154">
            <v>550013</v>
          </cell>
          <cell r="C2154" t="str">
            <v>AALL-FR49</v>
          </cell>
          <cell r="D2154" t="str">
            <v>Abdus Salam</v>
          </cell>
          <cell r="E2154">
            <v>550013</v>
          </cell>
          <cell r="F2154" t="str">
            <v>Quality Control</v>
          </cell>
          <cell r="G2154" t="str">
            <v>Senior Executive</v>
          </cell>
        </row>
        <row r="2155">
          <cell r="B2155">
            <v>550328</v>
          </cell>
          <cell r="C2155" t="str">
            <v>AALL-FR53</v>
          </cell>
          <cell r="D2155" t="str">
            <v>Md. Sohel Rana</v>
          </cell>
          <cell r="E2155">
            <v>550328</v>
          </cell>
          <cell r="F2155" t="str">
            <v>Mechanical</v>
          </cell>
          <cell r="G2155" t="str">
            <v>Assistant Engineer</v>
          </cell>
        </row>
        <row r="2156">
          <cell r="B2156">
            <v>550385</v>
          </cell>
          <cell r="C2156" t="str">
            <v>AALL-FR54</v>
          </cell>
          <cell r="D2156" t="str">
            <v>Milon Mia</v>
          </cell>
          <cell r="E2156">
            <v>550385</v>
          </cell>
          <cell r="F2156" t="str">
            <v>Store</v>
          </cell>
          <cell r="G2156" t="str">
            <v>Senior Executive</v>
          </cell>
        </row>
        <row r="2157">
          <cell r="B2157">
            <v>550392</v>
          </cell>
          <cell r="C2157" t="str">
            <v>AALL-FR55</v>
          </cell>
          <cell r="D2157" t="str">
            <v>Md. Hasibur Rahman Shanto</v>
          </cell>
          <cell r="E2157">
            <v>550392</v>
          </cell>
          <cell r="F2157" t="str">
            <v>Electrical</v>
          </cell>
          <cell r="G2157" t="str">
            <v>Assistant Engineer</v>
          </cell>
        </row>
        <row r="2158">
          <cell r="B2158">
            <v>550465</v>
          </cell>
          <cell r="C2158" t="str">
            <v>FR5705</v>
          </cell>
          <cell r="D2158" t="str">
            <v>Md. Imran Hossain</v>
          </cell>
          <cell r="E2158">
            <v>550465</v>
          </cell>
          <cell r="F2158" t="str">
            <v>HR &amp; Admin</v>
          </cell>
          <cell r="G2158" t="str">
            <v>Junior Executive</v>
          </cell>
        </row>
        <row r="2159">
          <cell r="B2159">
            <v>551296</v>
          </cell>
          <cell r="C2159" t="str">
            <v>AALL-017</v>
          </cell>
          <cell r="D2159" t="str">
            <v>Emrul Kowser Emu</v>
          </cell>
          <cell r="E2159">
            <v>551296</v>
          </cell>
          <cell r="F2159" t="str">
            <v>Supply Chain</v>
          </cell>
          <cell r="G2159" t="str">
            <v>Senior Executive</v>
          </cell>
        </row>
        <row r="2160">
          <cell r="B2160">
            <v>551564</v>
          </cell>
          <cell r="C2160" t="str">
            <v>AALL-FR67</v>
          </cell>
          <cell r="D2160" t="str">
            <v>Md. Golam Mukit</v>
          </cell>
          <cell r="E2160">
            <v>551564</v>
          </cell>
          <cell r="F2160" t="str">
            <v>RnD</v>
          </cell>
          <cell r="G2160" t="str">
            <v>Assistant Manager</v>
          </cell>
        </row>
        <row r="2161">
          <cell r="B2161">
            <v>551695</v>
          </cell>
          <cell r="C2161" t="str">
            <v>AALL-FR69</v>
          </cell>
          <cell r="D2161" t="str">
            <v>Md. Tanvir Azad Munna</v>
          </cell>
          <cell r="E2161">
            <v>551695</v>
          </cell>
          <cell r="F2161" t="str">
            <v>Mechanical</v>
          </cell>
          <cell r="G2161" t="str">
            <v>Engineer</v>
          </cell>
        </row>
        <row r="2162">
          <cell r="B2162">
            <v>552158</v>
          </cell>
          <cell r="C2162" t="str">
            <v>AALL-FR80</v>
          </cell>
          <cell r="D2162" t="str">
            <v>Abdul Matin</v>
          </cell>
          <cell r="E2162">
            <v>552158</v>
          </cell>
          <cell r="F2162" t="str">
            <v>Production</v>
          </cell>
          <cell r="G2162" t="str">
            <v>Executive</v>
          </cell>
        </row>
        <row r="2163">
          <cell r="B2163">
            <v>552164</v>
          </cell>
          <cell r="C2163" t="str">
            <v>AALL-FR81</v>
          </cell>
          <cell r="D2163" t="str">
            <v>Md. Al Amin</v>
          </cell>
          <cell r="E2163">
            <v>552164</v>
          </cell>
          <cell r="F2163" t="str">
            <v>Production</v>
          </cell>
          <cell r="G2163" t="str">
            <v>Executive</v>
          </cell>
        </row>
        <row r="2164">
          <cell r="B2164">
            <v>553248</v>
          </cell>
          <cell r="C2164" t="str">
            <v>AALL-FR88</v>
          </cell>
          <cell r="D2164" t="str">
            <v>Milon Kumar Debnath</v>
          </cell>
          <cell r="E2164">
            <v>553248</v>
          </cell>
          <cell r="F2164" t="str">
            <v>Quality Control</v>
          </cell>
          <cell r="G2164" t="str">
            <v>Executive</v>
          </cell>
        </row>
        <row r="2165">
          <cell r="B2165">
            <v>553964</v>
          </cell>
          <cell r="C2165" t="str">
            <v>AALL-018</v>
          </cell>
          <cell r="D2165" t="str">
            <v xml:space="preserve">Mohammad Takbir Hasan </v>
          </cell>
          <cell r="E2165">
            <v>553964</v>
          </cell>
          <cell r="F2165" t="str">
            <v>Brand</v>
          </cell>
          <cell r="G2165" t="str">
            <v>Manager</v>
          </cell>
        </row>
        <row r="2166">
          <cell r="B2166">
            <v>554226</v>
          </cell>
          <cell r="C2166" t="str">
            <v>AALL-FR122</v>
          </cell>
          <cell r="D2166" t="str">
            <v>Shah Jalal</v>
          </cell>
          <cell r="E2166">
            <v>554226</v>
          </cell>
          <cell r="F2166" t="str">
            <v>Quality Control</v>
          </cell>
          <cell r="G2166" t="str">
            <v>Executive</v>
          </cell>
        </row>
        <row r="2167">
          <cell r="B2167">
            <v>554227</v>
          </cell>
          <cell r="C2167" t="str">
            <v>AALL-FR123</v>
          </cell>
          <cell r="D2167" t="str">
            <v>Habibur Rahman</v>
          </cell>
          <cell r="E2167">
            <v>554227</v>
          </cell>
          <cell r="F2167" t="str">
            <v>Production</v>
          </cell>
          <cell r="G2167" t="str">
            <v>Senior Executive</v>
          </cell>
        </row>
        <row r="2168">
          <cell r="B2168">
            <v>556155</v>
          </cell>
          <cell r="C2168" t="str">
            <v>AALL-024</v>
          </cell>
          <cell r="D2168" t="str">
            <v>Abu Asad Md Saifur Rahman</v>
          </cell>
          <cell r="E2168">
            <v>556155</v>
          </cell>
          <cell r="F2168" t="str">
            <v>Sales</v>
          </cell>
          <cell r="G2168" t="str">
            <v>National Sales Manager</v>
          </cell>
        </row>
        <row r="2169">
          <cell r="B2169">
            <v>557835</v>
          </cell>
          <cell r="C2169" t="str">
            <v>AALL-FR267</v>
          </cell>
          <cell r="D2169" t="str">
            <v>Md. Nur Alam</v>
          </cell>
          <cell r="E2169">
            <v>557835</v>
          </cell>
          <cell r="F2169" t="str">
            <v>Quality Control</v>
          </cell>
          <cell r="G2169" t="str">
            <v>Assistant Manager</v>
          </cell>
        </row>
        <row r="2170">
          <cell r="B2170">
            <v>558044</v>
          </cell>
          <cell r="C2170" t="str">
            <v>AALL-044</v>
          </cell>
          <cell r="D2170" t="str">
            <v>Md. Mahbub Hossain</v>
          </cell>
          <cell r="E2170">
            <v>558044</v>
          </cell>
          <cell r="F2170" t="str">
            <v>Sales</v>
          </cell>
          <cell r="G2170" t="str">
            <v>Territory Sales Manager</v>
          </cell>
        </row>
        <row r="2171">
          <cell r="B2171">
            <v>558072</v>
          </cell>
          <cell r="C2171" t="str">
            <v>AALL-045</v>
          </cell>
          <cell r="D2171" t="str">
            <v>Md. Elias</v>
          </cell>
          <cell r="E2171">
            <v>558072</v>
          </cell>
          <cell r="F2171" t="str">
            <v>Sales</v>
          </cell>
          <cell r="G2171" t="str">
            <v>Territory Sales Manager</v>
          </cell>
        </row>
        <row r="2172">
          <cell r="B2172">
            <v>558079</v>
          </cell>
          <cell r="C2172" t="str">
            <v>AALL-047</v>
          </cell>
          <cell r="D2172" t="str">
            <v>Md. Adil Khan</v>
          </cell>
          <cell r="E2172">
            <v>558079</v>
          </cell>
          <cell r="F2172" t="str">
            <v>Sales</v>
          </cell>
          <cell r="G2172" t="str">
            <v>Area Sales Manager</v>
          </cell>
        </row>
        <row r="2173">
          <cell r="B2173">
            <v>558602</v>
          </cell>
          <cell r="C2173" t="str">
            <v>AALL-066</v>
          </cell>
          <cell r="D2173" t="str">
            <v>Md. Jamil Imtiaj</v>
          </cell>
          <cell r="E2173">
            <v>558602</v>
          </cell>
          <cell r="F2173" t="str">
            <v>Sales</v>
          </cell>
          <cell r="G2173" t="str">
            <v>Area Sales Manager</v>
          </cell>
        </row>
        <row r="2174">
          <cell r="B2174">
            <v>558695</v>
          </cell>
          <cell r="C2174" t="str">
            <v>AALL-FR067</v>
          </cell>
          <cell r="D2174" t="str">
            <v>Md. Foysal Kobir</v>
          </cell>
          <cell r="E2174">
            <v>558695</v>
          </cell>
          <cell r="F2174" t="str">
            <v>Supply Chain</v>
          </cell>
          <cell r="G2174" t="str">
            <v>Executive</v>
          </cell>
        </row>
        <row r="2175">
          <cell r="B2175">
            <v>559326</v>
          </cell>
          <cell r="C2175" t="str">
            <v>AALL-FR338</v>
          </cell>
          <cell r="D2175" t="str">
            <v>Md. Sahmim Mia</v>
          </cell>
          <cell r="E2175">
            <v>559326</v>
          </cell>
          <cell r="F2175" t="str">
            <v>New Project &amp; Development</v>
          </cell>
          <cell r="G2175" t="str">
            <v>Junior Executive</v>
          </cell>
        </row>
        <row r="2176">
          <cell r="B2176">
            <v>559348</v>
          </cell>
          <cell r="C2176" t="str">
            <v>APML-861</v>
          </cell>
          <cell r="D2176" t="str">
            <v>Md. Rauful Islam</v>
          </cell>
          <cell r="E2176">
            <v>559348</v>
          </cell>
          <cell r="F2176" t="str">
            <v>New Project &amp; Development</v>
          </cell>
          <cell r="G2176" t="str">
            <v>Junior Executive</v>
          </cell>
        </row>
        <row r="2177">
          <cell r="B2177">
            <v>559405</v>
          </cell>
          <cell r="C2177" t="str">
            <v>AALL-073</v>
          </cell>
          <cell r="D2177" t="str">
            <v>Raju Ahmed</v>
          </cell>
          <cell r="E2177">
            <v>559405</v>
          </cell>
          <cell r="F2177" t="str">
            <v>Sales</v>
          </cell>
          <cell r="G2177" t="str">
            <v>Territory Sales Manager</v>
          </cell>
        </row>
        <row r="2178">
          <cell r="B2178">
            <v>559406</v>
          </cell>
          <cell r="C2178" t="str">
            <v>AALL-074</v>
          </cell>
          <cell r="D2178" t="str">
            <v>Md. Razib Hossain</v>
          </cell>
          <cell r="E2178">
            <v>559406</v>
          </cell>
          <cell r="F2178" t="str">
            <v>Sales</v>
          </cell>
          <cell r="G2178" t="str">
            <v>Territory Sales Manager</v>
          </cell>
        </row>
        <row r="2179">
          <cell r="B2179">
            <v>559407</v>
          </cell>
          <cell r="C2179" t="str">
            <v>AALL-075</v>
          </cell>
          <cell r="D2179" t="str">
            <v>Proshanta Saha</v>
          </cell>
          <cell r="E2179">
            <v>559407</v>
          </cell>
          <cell r="F2179" t="str">
            <v>Sales</v>
          </cell>
          <cell r="G2179" t="str">
            <v>Territory Sales Manager</v>
          </cell>
        </row>
        <row r="2180">
          <cell r="B2180">
            <v>559460</v>
          </cell>
          <cell r="C2180" t="str">
            <v>AALL-080</v>
          </cell>
          <cell r="D2180" t="str">
            <v>Shafikul Islam</v>
          </cell>
          <cell r="E2180">
            <v>559460</v>
          </cell>
          <cell r="F2180" t="str">
            <v>Sales</v>
          </cell>
          <cell r="G2180" t="str">
            <v>Area Sales Manager</v>
          </cell>
        </row>
        <row r="2181">
          <cell r="B2181">
            <v>559636</v>
          </cell>
          <cell r="C2181" t="str">
            <v>AALL-083</v>
          </cell>
          <cell r="D2181" t="str">
            <v>Md. Jalilur Rahaman</v>
          </cell>
          <cell r="E2181">
            <v>559636</v>
          </cell>
          <cell r="F2181" t="str">
            <v>Sales</v>
          </cell>
          <cell r="G2181" t="str">
            <v>Territory Sales Manager</v>
          </cell>
        </row>
        <row r="2182">
          <cell r="B2182">
            <v>560056</v>
          </cell>
          <cell r="C2182" t="str">
            <v>AALL-087</v>
          </cell>
          <cell r="D2182" t="str">
            <v>Md. Sariful Amzad</v>
          </cell>
          <cell r="E2182">
            <v>560056</v>
          </cell>
          <cell r="F2182" t="str">
            <v>Sales</v>
          </cell>
          <cell r="G2182" t="str">
            <v>Area Sales Manager</v>
          </cell>
        </row>
        <row r="2183">
          <cell r="B2183">
            <v>560515</v>
          </cell>
          <cell r="C2183" t="str">
            <v>AALL-090</v>
          </cell>
          <cell r="D2183" t="str">
            <v>Md. Ikbal Hossen</v>
          </cell>
          <cell r="E2183">
            <v>560515</v>
          </cell>
          <cell r="F2183" t="str">
            <v>Sales</v>
          </cell>
          <cell r="G2183" t="str">
            <v>Territory Sales Manager</v>
          </cell>
        </row>
        <row r="2184">
          <cell r="B2184">
            <v>560800</v>
          </cell>
          <cell r="C2184" t="str">
            <v>Intern-221</v>
          </cell>
          <cell r="D2184" t="str">
            <v>Rohan Siddiqu</v>
          </cell>
          <cell r="E2184">
            <v>560800</v>
          </cell>
          <cell r="F2184" t="str">
            <v>Operations</v>
          </cell>
          <cell r="G2184" t="str">
            <v>Intern</v>
          </cell>
        </row>
        <row r="2185">
          <cell r="B2185">
            <v>561010</v>
          </cell>
          <cell r="C2185" t="str">
            <v>Intern-227</v>
          </cell>
          <cell r="D2185" t="str">
            <v>Sonia Akter Tuktuki</v>
          </cell>
          <cell r="E2185">
            <v>561010</v>
          </cell>
          <cell r="F2185" t="str">
            <v>Brand</v>
          </cell>
          <cell r="G2185" t="str">
            <v>Intern</v>
          </cell>
        </row>
        <row r="2186">
          <cell r="B2186">
            <v>561374</v>
          </cell>
          <cell r="C2186" t="str">
            <v>AALL-130</v>
          </cell>
          <cell r="D2186" t="str">
            <v>Sharif Hosen</v>
          </cell>
          <cell r="E2186">
            <v>561374</v>
          </cell>
          <cell r="F2186" t="str">
            <v>Sales</v>
          </cell>
          <cell r="G2186" t="str">
            <v>Territory Sales Manager</v>
          </cell>
        </row>
        <row r="2187">
          <cell r="B2187">
            <v>563212</v>
          </cell>
          <cell r="C2187" t="str">
            <v>AALL-FR419</v>
          </cell>
          <cell r="D2187" t="str">
            <v>Shoiledro Nath Sarker</v>
          </cell>
          <cell r="E2187">
            <v>563212</v>
          </cell>
          <cell r="F2187" t="str">
            <v>Accounts</v>
          </cell>
          <cell r="G2187" t="str">
            <v>Junior Executive</v>
          </cell>
        </row>
        <row r="2188">
          <cell r="B2188">
            <v>563246</v>
          </cell>
          <cell r="C2188" t="str">
            <v>AALL-150</v>
          </cell>
          <cell r="D2188" t="str">
            <v>Md. Abdur Rob Mia</v>
          </cell>
          <cell r="E2188">
            <v>563246</v>
          </cell>
          <cell r="F2188" t="str">
            <v>Sales</v>
          </cell>
          <cell r="G2188" t="str">
            <v>Territory Sales Manager</v>
          </cell>
        </row>
        <row r="2189">
          <cell r="B2189">
            <v>563852</v>
          </cell>
          <cell r="C2189" t="str">
            <v>AALL-159</v>
          </cell>
          <cell r="D2189" t="str">
            <v>Md. Ahteshamur Rashidi Khan</v>
          </cell>
          <cell r="E2189">
            <v>563852</v>
          </cell>
          <cell r="F2189" t="str">
            <v>Sales</v>
          </cell>
          <cell r="G2189" t="str">
            <v>Area Sales Manager</v>
          </cell>
        </row>
        <row r="2190">
          <cell r="B2190">
            <v>564146</v>
          </cell>
          <cell r="C2190" t="str">
            <v>AALL-174</v>
          </cell>
          <cell r="D2190" t="str">
            <v>Md. Jahidul Hassan</v>
          </cell>
          <cell r="E2190">
            <v>564146</v>
          </cell>
          <cell r="F2190" t="str">
            <v>Sales</v>
          </cell>
          <cell r="G2190" t="str">
            <v>Regional Sales Manager</v>
          </cell>
        </row>
        <row r="2191">
          <cell r="B2191">
            <v>564152</v>
          </cell>
          <cell r="C2191" t="str">
            <v>AALL-175</v>
          </cell>
          <cell r="D2191" t="str">
            <v>Md. Obaidul Haque</v>
          </cell>
          <cell r="E2191">
            <v>564152</v>
          </cell>
          <cell r="F2191" t="str">
            <v>Sales</v>
          </cell>
          <cell r="G2191" t="str">
            <v>Territory Sales Manager</v>
          </cell>
        </row>
        <row r="2192">
          <cell r="B2192">
            <v>1483</v>
          </cell>
          <cell r="C2192" t="str">
            <v>14832251416</v>
          </cell>
          <cell r="D2192" t="str">
            <v>Debashis Barua</v>
          </cell>
          <cell r="E2192">
            <v>1483</v>
          </cell>
          <cell r="F2192" t="str">
            <v>Store</v>
          </cell>
          <cell r="G2192" t="str">
            <v>Senior Executive</v>
          </cell>
        </row>
        <row r="2193">
          <cell r="B2193">
            <v>1805</v>
          </cell>
          <cell r="C2193" t="str">
            <v>18052251420</v>
          </cell>
          <cell r="D2193" t="str">
            <v>Mohin Uddin</v>
          </cell>
          <cell r="E2193">
            <v>1805</v>
          </cell>
          <cell r="F2193" t="str">
            <v>Store</v>
          </cell>
          <cell r="G2193" t="str">
            <v>Senior Executive</v>
          </cell>
        </row>
        <row r="2194">
          <cell r="B2194">
            <v>58044</v>
          </cell>
          <cell r="C2194" t="str">
            <v>AFBL(Marketing)-011</v>
          </cell>
          <cell r="D2194" t="str">
            <v>Sikder Mohammad Balayet Hossain</v>
          </cell>
          <cell r="E2194">
            <v>58044</v>
          </cell>
          <cell r="F2194" t="str">
            <v>Sales &amp; Marketing</v>
          </cell>
          <cell r="G2194" t="str">
            <v>Deputy Manager</v>
          </cell>
        </row>
        <row r="2195">
          <cell r="B2195">
            <v>78290</v>
          </cell>
          <cell r="C2195" t="str">
            <v>AFBL(CC)-004</v>
          </cell>
          <cell r="D2195" t="str">
            <v>Md. Nur Alam</v>
          </cell>
          <cell r="E2195">
            <v>78290</v>
          </cell>
          <cell r="F2195" t="str">
            <v>Accounts And Finance</v>
          </cell>
          <cell r="G2195" t="str">
            <v>Senior Executive</v>
          </cell>
        </row>
        <row r="2196">
          <cell r="B2196">
            <v>498668</v>
          </cell>
          <cell r="C2196" t="str">
            <v>FR3289</v>
          </cell>
          <cell r="D2196" t="str">
            <v>Tanver Ahmed</v>
          </cell>
          <cell r="E2196">
            <v>498668</v>
          </cell>
          <cell r="F2196" t="str">
            <v>Mechanical</v>
          </cell>
          <cell r="G2196" t="str">
            <v>Assistant Engineer</v>
          </cell>
        </row>
        <row r="2197">
          <cell r="B2197">
            <v>529198</v>
          </cell>
          <cell r="C2197" t="str">
            <v>APML-01</v>
          </cell>
          <cell r="D2197" t="str">
            <v>Md. Saiful Islam</v>
          </cell>
          <cell r="E2197">
            <v>529198</v>
          </cell>
          <cell r="F2197" t="str">
            <v>Operations</v>
          </cell>
          <cell r="G2197" t="str">
            <v>General Manager</v>
          </cell>
        </row>
        <row r="2198">
          <cell r="B2198">
            <v>529199</v>
          </cell>
          <cell r="C2198" t="str">
            <v>APML-02</v>
          </cell>
          <cell r="D2198" t="str">
            <v>A.S.M Nahid E.Alam</v>
          </cell>
          <cell r="E2198">
            <v>529199</v>
          </cell>
          <cell r="F2198" t="str">
            <v>Operations</v>
          </cell>
          <cell r="G2198" t="str">
            <v>Assistant General Manager</v>
          </cell>
        </row>
        <row r="2199">
          <cell r="B2199">
            <v>529200</v>
          </cell>
          <cell r="C2199" t="str">
            <v>APML-03</v>
          </cell>
          <cell r="D2199" t="str">
            <v>Mohammad Salim Hossain</v>
          </cell>
          <cell r="E2199">
            <v>529200</v>
          </cell>
          <cell r="F2199" t="str">
            <v>Accounts And Finance</v>
          </cell>
          <cell r="G2199" t="str">
            <v>Assistant General Manager</v>
          </cell>
        </row>
        <row r="2200">
          <cell r="B2200">
            <v>529202</v>
          </cell>
          <cell r="C2200" t="str">
            <v>APML-05</v>
          </cell>
          <cell r="D2200" t="str">
            <v>Md. Moniruzzaman Moni</v>
          </cell>
          <cell r="E2200">
            <v>529202</v>
          </cell>
          <cell r="F2200" t="str">
            <v>HR &amp; Admin</v>
          </cell>
          <cell r="G2200" t="str">
            <v>Deputy Manager</v>
          </cell>
        </row>
        <row r="2201">
          <cell r="B2201">
            <v>529212</v>
          </cell>
          <cell r="C2201" t="str">
            <v>APML-17</v>
          </cell>
          <cell r="D2201" t="str">
            <v>Md.Astefazur Rahman</v>
          </cell>
          <cell r="E2201">
            <v>529212</v>
          </cell>
          <cell r="F2201" t="str">
            <v>Production</v>
          </cell>
          <cell r="G2201" t="str">
            <v>Senior Manager</v>
          </cell>
        </row>
        <row r="2202">
          <cell r="B2202">
            <v>529216</v>
          </cell>
          <cell r="C2202" t="str">
            <v>APML-21</v>
          </cell>
          <cell r="D2202" t="str">
            <v>Md. Kaium</v>
          </cell>
          <cell r="E2202">
            <v>529216</v>
          </cell>
          <cell r="F2202" t="str">
            <v>Mechanical</v>
          </cell>
          <cell r="G2202" t="str">
            <v>Assistant Engineer</v>
          </cell>
        </row>
        <row r="2203">
          <cell r="B2203">
            <v>529218</v>
          </cell>
          <cell r="C2203" t="str">
            <v>APML-23</v>
          </cell>
          <cell r="D2203" t="str">
            <v>Md. Nasir Uddin-01</v>
          </cell>
          <cell r="E2203">
            <v>529218</v>
          </cell>
          <cell r="F2203" t="str">
            <v>Packing</v>
          </cell>
          <cell r="G2203" t="str">
            <v>Junior Executive</v>
          </cell>
        </row>
        <row r="2204">
          <cell r="B2204">
            <v>529219</v>
          </cell>
          <cell r="C2204" t="str">
            <v>APML-24</v>
          </cell>
          <cell r="D2204" t="str">
            <v>Md. Main Uddin</v>
          </cell>
          <cell r="E2204">
            <v>529219</v>
          </cell>
          <cell r="F2204" t="str">
            <v>Accounts And Finance</v>
          </cell>
          <cell r="G2204" t="str">
            <v>Senior Executive</v>
          </cell>
        </row>
        <row r="2205">
          <cell r="B2205">
            <v>529226</v>
          </cell>
          <cell r="C2205" t="str">
            <v>APML-25</v>
          </cell>
          <cell r="D2205" t="str">
            <v>Sahadat Hossain</v>
          </cell>
          <cell r="E2205">
            <v>529226</v>
          </cell>
          <cell r="F2205" t="str">
            <v>Supply Chain</v>
          </cell>
          <cell r="G2205" t="str">
            <v xml:space="preserve">Officer </v>
          </cell>
        </row>
        <row r="2206">
          <cell r="B2206">
            <v>529227</v>
          </cell>
          <cell r="C2206" t="str">
            <v>APML-26</v>
          </cell>
          <cell r="D2206" t="str">
            <v>Nurul Afser</v>
          </cell>
          <cell r="E2206">
            <v>529227</v>
          </cell>
          <cell r="F2206" t="str">
            <v>Supply Chain</v>
          </cell>
          <cell r="G2206" t="str">
            <v>Senior Officer</v>
          </cell>
        </row>
        <row r="2207">
          <cell r="B2207">
            <v>536488</v>
          </cell>
          <cell r="C2207" t="str">
            <v>APML-467</v>
          </cell>
          <cell r="D2207" t="str">
            <v>Md. Touhedul Islam</v>
          </cell>
          <cell r="E2207">
            <v>536488</v>
          </cell>
          <cell r="F2207" t="str">
            <v>Store</v>
          </cell>
          <cell r="G2207" t="str">
            <v>Assistant Manager</v>
          </cell>
        </row>
        <row r="2208">
          <cell r="B2208">
            <v>536955</v>
          </cell>
          <cell r="C2208" t="str">
            <v>APML-474</v>
          </cell>
          <cell r="D2208" t="str">
            <v>Md. Al- Amin</v>
          </cell>
          <cell r="E2208">
            <v>536955</v>
          </cell>
          <cell r="F2208" t="str">
            <v>Admin</v>
          </cell>
          <cell r="G2208" t="str">
            <v>Executive</v>
          </cell>
        </row>
        <row r="2209">
          <cell r="B2209">
            <v>536956</v>
          </cell>
          <cell r="C2209" t="str">
            <v>APML-475</v>
          </cell>
          <cell r="D2209" t="str">
            <v>Md. Musabbir Hossain</v>
          </cell>
          <cell r="E2209">
            <v>536956</v>
          </cell>
          <cell r="F2209" t="str">
            <v>Quality Control</v>
          </cell>
          <cell r="G2209" t="str">
            <v>Junior Executive</v>
          </cell>
        </row>
        <row r="2210">
          <cell r="B2210">
            <v>538097</v>
          </cell>
          <cell r="C2210" t="str">
            <v>APML-492</v>
          </cell>
          <cell r="D2210" t="str">
            <v>Md. Golam Mostafa</v>
          </cell>
          <cell r="E2210">
            <v>538097</v>
          </cell>
          <cell r="F2210" t="str">
            <v>Admin</v>
          </cell>
          <cell r="G2210" t="str">
            <v xml:space="preserve">Officer </v>
          </cell>
        </row>
        <row r="2211">
          <cell r="B2211">
            <v>538652</v>
          </cell>
          <cell r="C2211" t="str">
            <v>APML-511</v>
          </cell>
          <cell r="D2211" t="str">
            <v>Md. Mohasin Chowdhury</v>
          </cell>
          <cell r="E2211">
            <v>538652</v>
          </cell>
          <cell r="F2211" t="str">
            <v>Quality Control</v>
          </cell>
          <cell r="G2211" t="str">
            <v>Assistant Manager</v>
          </cell>
        </row>
        <row r="2212">
          <cell r="B2212">
            <v>539441</v>
          </cell>
          <cell r="C2212" t="str">
            <v>APML-544</v>
          </cell>
          <cell r="D2212" t="str">
            <v>Md. Mutabbir Hossain</v>
          </cell>
          <cell r="E2212">
            <v>539441</v>
          </cell>
          <cell r="F2212" t="str">
            <v>Quality Control</v>
          </cell>
          <cell r="G2212" t="str">
            <v>Junior Executive</v>
          </cell>
        </row>
        <row r="2213">
          <cell r="B2213">
            <v>541860</v>
          </cell>
          <cell r="C2213" t="str">
            <v>AFBL(Hob)-67</v>
          </cell>
          <cell r="D2213" t="str">
            <v>Sk.Naimur Rahman</v>
          </cell>
          <cell r="E2213">
            <v>541860</v>
          </cell>
          <cell r="F2213" t="str">
            <v>New Project &amp; Development</v>
          </cell>
          <cell r="G2213" t="str">
            <v>Assistant Engineer</v>
          </cell>
        </row>
        <row r="2214">
          <cell r="B2214">
            <v>548507</v>
          </cell>
          <cell r="C2214" t="str">
            <v>APML-685</v>
          </cell>
          <cell r="D2214" t="str">
            <v>Mohammad Saiful Islam</v>
          </cell>
          <cell r="E2214">
            <v>548507</v>
          </cell>
          <cell r="F2214" t="str">
            <v>Electrical</v>
          </cell>
          <cell r="G2214" t="str">
            <v>Deputy Manager</v>
          </cell>
        </row>
        <row r="2215">
          <cell r="B2215">
            <v>550393</v>
          </cell>
          <cell r="C2215" t="str">
            <v>APML-710</v>
          </cell>
          <cell r="D2215" t="str">
            <v>Syed Alimuzzaman</v>
          </cell>
          <cell r="E2215">
            <v>550393</v>
          </cell>
          <cell r="F2215" t="str">
            <v>Distribution</v>
          </cell>
          <cell r="G2215" t="str">
            <v>Junior Executive</v>
          </cell>
        </row>
        <row r="2216">
          <cell r="B2216">
            <v>552291</v>
          </cell>
          <cell r="C2216" t="str">
            <v>FVL-060</v>
          </cell>
          <cell r="D2216" t="str">
            <v>Wazed Chowdhury</v>
          </cell>
          <cell r="E2216">
            <v>552291</v>
          </cell>
          <cell r="F2216" t="str">
            <v>Finance &amp; Accounts</v>
          </cell>
          <cell r="G2216" t="str">
            <v>Senior Executive</v>
          </cell>
        </row>
        <row r="2217">
          <cell r="B2217">
            <v>553988</v>
          </cell>
          <cell r="C2217" t="str">
            <v>APML-592</v>
          </cell>
          <cell r="D2217" t="str">
            <v>Md. Mizanur Rahman</v>
          </cell>
          <cell r="E2217">
            <v>553988</v>
          </cell>
          <cell r="F2217" t="str">
            <v>Finance &amp; Accounts</v>
          </cell>
          <cell r="G2217" t="str">
            <v>Senior Executive</v>
          </cell>
        </row>
        <row r="2218">
          <cell r="B2218">
            <v>554073</v>
          </cell>
          <cell r="C2218" t="str">
            <v>APML-593</v>
          </cell>
          <cell r="D2218" t="str">
            <v>Arif Ud Dowla</v>
          </cell>
          <cell r="E2218">
            <v>554073</v>
          </cell>
          <cell r="F2218" t="str">
            <v>Sales &amp; Marketing</v>
          </cell>
          <cell r="G2218" t="str">
            <v>Assistant General Manager</v>
          </cell>
        </row>
        <row r="2219">
          <cell r="B2219">
            <v>554609</v>
          </cell>
          <cell r="C2219" t="str">
            <v>APML-594</v>
          </cell>
          <cell r="D2219" t="str">
            <v>Md. Raihan Hossain</v>
          </cell>
          <cell r="E2219">
            <v>554609</v>
          </cell>
          <cell r="F2219" t="str">
            <v>Finance &amp; Accounts</v>
          </cell>
          <cell r="G2219" t="str">
            <v>Senior Executive</v>
          </cell>
        </row>
        <row r="2220">
          <cell r="B2220">
            <v>557389</v>
          </cell>
          <cell r="C2220" t="str">
            <v>APML-829</v>
          </cell>
          <cell r="D2220" t="str">
            <v>Md.Shafiqul Islam</v>
          </cell>
          <cell r="E2220">
            <v>557389</v>
          </cell>
          <cell r="F2220" t="str">
            <v>Distribution</v>
          </cell>
          <cell r="G2220" t="str">
            <v>Junior Executive</v>
          </cell>
        </row>
        <row r="2221">
          <cell r="B2221">
            <v>562445</v>
          </cell>
          <cell r="C2221" t="str">
            <v>APML-890</v>
          </cell>
          <cell r="D2221" t="str">
            <v>Md. Arshad Ali</v>
          </cell>
          <cell r="E2221">
            <v>562445</v>
          </cell>
          <cell r="F2221" t="str">
            <v>Packing</v>
          </cell>
          <cell r="G2221" t="str">
            <v>Deputy Manager</v>
          </cell>
        </row>
        <row r="2222">
          <cell r="B2222">
            <v>562878</v>
          </cell>
          <cell r="C2222" t="str">
            <v>APML-896</v>
          </cell>
          <cell r="D2222" t="str">
            <v>Md. Golam Kibria Khan</v>
          </cell>
          <cell r="E2222">
            <v>562878</v>
          </cell>
          <cell r="F2222" t="str">
            <v>Accounts And Finance</v>
          </cell>
          <cell r="G2222" t="str">
            <v>Assistant Manager</v>
          </cell>
        </row>
        <row r="2223">
          <cell r="B2223">
            <v>58566</v>
          </cell>
          <cell r="C2223" t="str">
            <v>AFBL(Marketing)-533</v>
          </cell>
          <cell r="D2223" t="str">
            <v>Prokash Chandra Das</v>
          </cell>
          <cell r="E2223">
            <v>58566</v>
          </cell>
          <cell r="F2223" t="str">
            <v>Distribution</v>
          </cell>
          <cell r="G2223" t="str">
            <v>Executive</v>
          </cell>
        </row>
        <row r="2224">
          <cell r="B2224">
            <v>523770</v>
          </cell>
          <cell r="C2224" t="str">
            <v>AFBL(Marketing)-6362</v>
          </cell>
          <cell r="D2224" t="str">
            <v>Nebu Chandra Das</v>
          </cell>
          <cell r="E2224">
            <v>523770</v>
          </cell>
          <cell r="F2224" t="str">
            <v>Distribution</v>
          </cell>
          <cell r="G2224" t="str">
            <v>Junior Executive</v>
          </cell>
        </row>
        <row r="2225">
          <cell r="B2225">
            <v>525691</v>
          </cell>
          <cell r="C2225" t="str">
            <v xml:space="preserve">R2989 </v>
          </cell>
          <cell r="D2225" t="str">
            <v>Uttpol Nandi</v>
          </cell>
          <cell r="E2225">
            <v>525691</v>
          </cell>
          <cell r="F2225" t="str">
            <v>Distribution</v>
          </cell>
          <cell r="G2225" t="str">
            <v>Senior Executive</v>
          </cell>
        </row>
        <row r="2226">
          <cell r="B2226">
            <v>529668</v>
          </cell>
          <cell r="C2226" t="str">
            <v>AVL-76</v>
          </cell>
          <cell r="D2226" t="str">
            <v>Sayed Joynul Abedin</v>
          </cell>
          <cell r="E2226">
            <v>529668</v>
          </cell>
          <cell r="F2226" t="str">
            <v>Operations</v>
          </cell>
          <cell r="G2226" t="str">
            <v>Chief Executive Officer</v>
          </cell>
        </row>
        <row r="2227">
          <cell r="B2227">
            <v>531145</v>
          </cell>
          <cell r="C2227" t="str">
            <v>AVL-97</v>
          </cell>
          <cell r="D2227" t="str">
            <v>Md. Babul Hossain</v>
          </cell>
          <cell r="E2227">
            <v>531145</v>
          </cell>
          <cell r="F2227" t="str">
            <v>Production</v>
          </cell>
          <cell r="G2227" t="str">
            <v>Senior Manager</v>
          </cell>
        </row>
        <row r="2228">
          <cell r="B2228">
            <v>531155</v>
          </cell>
          <cell r="C2228" t="str">
            <v>AVL-98</v>
          </cell>
          <cell r="D2228" t="str">
            <v>Robin Khan</v>
          </cell>
          <cell r="E2228">
            <v>531155</v>
          </cell>
          <cell r="F2228" t="str">
            <v>Operations</v>
          </cell>
          <cell r="G2228" t="str">
            <v>Assistant General Manager</v>
          </cell>
        </row>
        <row r="2229">
          <cell r="B2229">
            <v>531678</v>
          </cell>
          <cell r="C2229" t="str">
            <v>ABEL-01</v>
          </cell>
          <cell r="D2229" t="str">
            <v>Md. Rokebuzzaman</v>
          </cell>
          <cell r="E2229">
            <v>531678</v>
          </cell>
          <cell r="F2229" t="str">
            <v>Supply Chain</v>
          </cell>
          <cell r="G2229" t="str">
            <v>Manager</v>
          </cell>
        </row>
        <row r="2230">
          <cell r="B2230">
            <v>536407</v>
          </cell>
          <cell r="C2230" t="str">
            <v>ABEL-11</v>
          </cell>
          <cell r="D2230" t="str">
            <v>Abu Hena Md. Nazmuzzaman</v>
          </cell>
          <cell r="E2230">
            <v>536407</v>
          </cell>
          <cell r="F2230" t="str">
            <v>Operations</v>
          </cell>
          <cell r="G2230" t="str">
            <v>Deputy Manager</v>
          </cell>
        </row>
        <row r="2231">
          <cell r="B2231">
            <v>536424</v>
          </cell>
          <cell r="C2231" t="str">
            <v>ABEL-12</v>
          </cell>
          <cell r="D2231" t="str">
            <v>Md. Masud Howlader</v>
          </cell>
          <cell r="E2231">
            <v>536424</v>
          </cell>
          <cell r="F2231" t="str">
            <v>Store</v>
          </cell>
          <cell r="G2231" t="str">
            <v>Assistant Manager</v>
          </cell>
        </row>
        <row r="2232">
          <cell r="B2232">
            <v>536476</v>
          </cell>
          <cell r="C2232" t="str">
            <v>ABEL-13</v>
          </cell>
          <cell r="D2232" t="str">
            <v>Md. Mosharraf Hossain</v>
          </cell>
          <cell r="E2232">
            <v>536476</v>
          </cell>
          <cell r="F2232" t="str">
            <v>Sales</v>
          </cell>
          <cell r="G2232" t="str">
            <v>Senior Manager</v>
          </cell>
        </row>
        <row r="2233">
          <cell r="B2233">
            <v>536617</v>
          </cell>
          <cell r="C2233" t="str">
            <v>ABEL-16</v>
          </cell>
          <cell r="D2233" t="str">
            <v>Z.M Ifead Ahmad</v>
          </cell>
          <cell r="E2233">
            <v>536617</v>
          </cell>
          <cell r="F2233" t="str">
            <v>Sales</v>
          </cell>
          <cell r="G2233" t="str">
            <v>Regional Sales Manager</v>
          </cell>
        </row>
        <row r="2234">
          <cell r="B2234">
            <v>536992</v>
          </cell>
          <cell r="C2234" t="str">
            <v>ABEL-48</v>
          </cell>
          <cell r="D2234" t="str">
            <v>Tarikul Islam</v>
          </cell>
          <cell r="E2234">
            <v>536992</v>
          </cell>
          <cell r="F2234" t="str">
            <v>Sales</v>
          </cell>
          <cell r="G2234" t="str">
            <v>Territory Sales Manager</v>
          </cell>
        </row>
        <row r="2235">
          <cell r="B2235">
            <v>536994</v>
          </cell>
          <cell r="C2235" t="str">
            <v>ABEL-50</v>
          </cell>
          <cell r="D2235" t="str">
            <v>Md. Sumon</v>
          </cell>
          <cell r="E2235">
            <v>536994</v>
          </cell>
          <cell r="F2235" t="str">
            <v>Sales</v>
          </cell>
          <cell r="G2235" t="str">
            <v>Territory Sales Manager</v>
          </cell>
        </row>
        <row r="2236">
          <cell r="B2236">
            <v>536996</v>
          </cell>
          <cell r="C2236" t="str">
            <v>ABEL-52</v>
          </cell>
          <cell r="D2236" t="str">
            <v>Md. Ali Reza Razu</v>
          </cell>
          <cell r="E2236">
            <v>536996</v>
          </cell>
          <cell r="F2236" t="str">
            <v>Sales</v>
          </cell>
          <cell r="G2236" t="str">
            <v>Territory Sales Manager</v>
          </cell>
        </row>
        <row r="2237">
          <cell r="B2237">
            <v>537187</v>
          </cell>
          <cell r="C2237" t="str">
            <v>ABEL-55</v>
          </cell>
          <cell r="D2237" t="str">
            <v>Md. Shakil ahmed</v>
          </cell>
          <cell r="E2237">
            <v>537187</v>
          </cell>
          <cell r="F2237" t="str">
            <v>Sales</v>
          </cell>
          <cell r="G2237" t="str">
            <v>Territory Sales Manager</v>
          </cell>
        </row>
        <row r="2238">
          <cell r="B2238">
            <v>538180</v>
          </cell>
          <cell r="C2238" t="str">
            <v>ABEL-57</v>
          </cell>
          <cell r="D2238" t="str">
            <v>Arif Ahmed</v>
          </cell>
          <cell r="E2238">
            <v>538180</v>
          </cell>
          <cell r="F2238" t="str">
            <v>Accounts And Finance</v>
          </cell>
          <cell r="G2238" t="str">
            <v>Executive</v>
          </cell>
        </row>
        <row r="2239">
          <cell r="B2239">
            <v>540529</v>
          </cell>
          <cell r="C2239" t="str">
            <v>ABEL-88</v>
          </cell>
          <cell r="D2239" t="str">
            <v>Md. Mohosin Munshi</v>
          </cell>
          <cell r="E2239">
            <v>540529</v>
          </cell>
          <cell r="F2239" t="str">
            <v>Sales</v>
          </cell>
          <cell r="G2239" t="str">
            <v>Territory Sales Manager</v>
          </cell>
        </row>
        <row r="2240">
          <cell r="B2240">
            <v>540634</v>
          </cell>
          <cell r="C2240" t="str">
            <v>ABEL-89</v>
          </cell>
          <cell r="D2240" t="str">
            <v>Ashik Ahmmed All Masud</v>
          </cell>
          <cell r="E2240">
            <v>540634</v>
          </cell>
          <cell r="F2240" t="str">
            <v>Brand</v>
          </cell>
          <cell r="G2240" t="str">
            <v>Senior Executive</v>
          </cell>
        </row>
        <row r="2241">
          <cell r="B2241">
            <v>540802</v>
          </cell>
          <cell r="C2241" t="str">
            <v>ABEL-92</v>
          </cell>
          <cell r="D2241" t="str">
            <v>Akter Hossain</v>
          </cell>
          <cell r="E2241">
            <v>540802</v>
          </cell>
          <cell r="F2241" t="str">
            <v>Sales</v>
          </cell>
          <cell r="G2241" t="str">
            <v>Area Sales Manager</v>
          </cell>
        </row>
        <row r="2242">
          <cell r="B2242">
            <v>541628</v>
          </cell>
          <cell r="C2242" t="str">
            <v>ABEL-F-131</v>
          </cell>
          <cell r="D2242" t="str">
            <v>Md. Aminul Islam</v>
          </cell>
          <cell r="E2242">
            <v>541628</v>
          </cell>
          <cell r="F2242" t="str">
            <v>Design &amp; Sample Development</v>
          </cell>
          <cell r="G2242" t="str">
            <v>Assistant Engineer</v>
          </cell>
        </row>
        <row r="2243">
          <cell r="B2243">
            <v>542032</v>
          </cell>
          <cell r="C2243" t="str">
            <v>ABEL-96</v>
          </cell>
          <cell r="D2243" t="str">
            <v>Md. Mahbub Alam</v>
          </cell>
          <cell r="E2243">
            <v>542032</v>
          </cell>
          <cell r="F2243" t="str">
            <v>Event</v>
          </cell>
          <cell r="G2243" t="str">
            <v>Assistant Manager</v>
          </cell>
        </row>
        <row r="2244">
          <cell r="B2244">
            <v>542328</v>
          </cell>
          <cell r="C2244" t="str">
            <v>ABEL-99</v>
          </cell>
          <cell r="D2244" t="str">
            <v>Md. Abul Kashim</v>
          </cell>
          <cell r="E2244">
            <v>542328</v>
          </cell>
          <cell r="F2244" t="str">
            <v>Distribution</v>
          </cell>
          <cell r="G2244" t="str">
            <v>Assistant Manager</v>
          </cell>
        </row>
        <row r="2245">
          <cell r="B2245">
            <v>543118</v>
          </cell>
          <cell r="C2245" t="str">
            <v>ABEL-106</v>
          </cell>
          <cell r="D2245" t="str">
            <v>Prosenjeet Sutra Dhar</v>
          </cell>
          <cell r="E2245">
            <v>543118</v>
          </cell>
          <cell r="F2245" t="str">
            <v>Distribution</v>
          </cell>
          <cell r="G2245" t="str">
            <v>Junior Executive</v>
          </cell>
        </row>
        <row r="2246">
          <cell r="B2246">
            <v>543122</v>
          </cell>
          <cell r="C2246" t="str">
            <v>ABEL-107</v>
          </cell>
          <cell r="D2246" t="str">
            <v>Md. Jewel Rana</v>
          </cell>
          <cell r="E2246">
            <v>543122</v>
          </cell>
          <cell r="F2246" t="str">
            <v>Sales</v>
          </cell>
          <cell r="G2246" t="str">
            <v>Territory Sales Manager</v>
          </cell>
        </row>
        <row r="2247">
          <cell r="B2247">
            <v>544106</v>
          </cell>
          <cell r="C2247" t="str">
            <v>ABEL-121</v>
          </cell>
          <cell r="D2247" t="str">
            <v>Md. Hasanur Rahaman</v>
          </cell>
          <cell r="E2247">
            <v>544106</v>
          </cell>
          <cell r="F2247" t="str">
            <v>Sales</v>
          </cell>
          <cell r="G2247" t="str">
            <v>Territory Sales Manager</v>
          </cell>
        </row>
        <row r="2248">
          <cell r="B2248">
            <v>544107</v>
          </cell>
          <cell r="C2248" t="str">
            <v>ABEL-122</v>
          </cell>
          <cell r="D2248" t="str">
            <v>Shakhawat Hossain</v>
          </cell>
          <cell r="E2248">
            <v>544107</v>
          </cell>
          <cell r="F2248" t="str">
            <v>Sales</v>
          </cell>
          <cell r="G2248" t="str">
            <v>Territory Sales Manager</v>
          </cell>
        </row>
        <row r="2249">
          <cell r="B2249">
            <v>544109</v>
          </cell>
          <cell r="C2249" t="str">
            <v>ABEL-124</v>
          </cell>
          <cell r="D2249" t="str">
            <v>Jewel Hossen</v>
          </cell>
          <cell r="E2249">
            <v>544109</v>
          </cell>
          <cell r="F2249" t="str">
            <v>Sales</v>
          </cell>
          <cell r="G2249" t="str">
            <v>Territory Sales Manager</v>
          </cell>
        </row>
        <row r="2250">
          <cell r="B2250">
            <v>544110</v>
          </cell>
          <cell r="C2250" t="str">
            <v>ABEL-125</v>
          </cell>
          <cell r="D2250" t="str">
            <v>Md. Ripon Ali</v>
          </cell>
          <cell r="E2250">
            <v>544110</v>
          </cell>
          <cell r="F2250" t="str">
            <v>Sales</v>
          </cell>
          <cell r="G2250" t="str">
            <v>Territory Sales Manager</v>
          </cell>
        </row>
        <row r="2251">
          <cell r="B2251">
            <v>544221</v>
          </cell>
          <cell r="C2251" t="str">
            <v>ABEL-142</v>
          </cell>
          <cell r="D2251" t="str">
            <v>Tanvir Hossen</v>
          </cell>
          <cell r="E2251">
            <v>544221</v>
          </cell>
          <cell r="F2251" t="str">
            <v>Sales</v>
          </cell>
          <cell r="G2251" t="str">
            <v>Territory Sales Manager</v>
          </cell>
        </row>
        <row r="2252">
          <cell r="B2252">
            <v>544299</v>
          </cell>
          <cell r="C2252" t="str">
            <v>ABEL-144</v>
          </cell>
          <cell r="D2252" t="str">
            <v>Md. Hridoy Hasan</v>
          </cell>
          <cell r="E2252">
            <v>544299</v>
          </cell>
          <cell r="F2252" t="str">
            <v>Sales</v>
          </cell>
          <cell r="G2252" t="str">
            <v>Territory Sales Manager</v>
          </cell>
        </row>
        <row r="2253">
          <cell r="B2253">
            <v>544363</v>
          </cell>
          <cell r="C2253" t="str">
            <v>ABEL-151</v>
          </cell>
          <cell r="D2253" t="str">
            <v>Md. Rasel Hossen</v>
          </cell>
          <cell r="E2253">
            <v>544363</v>
          </cell>
          <cell r="F2253" t="str">
            <v>Sales</v>
          </cell>
          <cell r="G2253" t="str">
            <v>Territory Sales Manager</v>
          </cell>
        </row>
        <row r="2254">
          <cell r="B2254">
            <v>544486</v>
          </cell>
          <cell r="C2254" t="str">
            <v>AEEL-338</v>
          </cell>
          <cell r="D2254" t="str">
            <v>Md. Amzad Hossain Mazumder</v>
          </cell>
          <cell r="E2254">
            <v>544486</v>
          </cell>
          <cell r="F2254" t="str">
            <v>Accounts And Finance</v>
          </cell>
          <cell r="G2254" t="str">
            <v>Senior Executive</v>
          </cell>
        </row>
        <row r="2255">
          <cell r="B2255">
            <v>544495</v>
          </cell>
          <cell r="C2255" t="str">
            <v>ABEL-159</v>
          </cell>
          <cell r="D2255" t="str">
            <v>Tofazzal Hossain</v>
          </cell>
          <cell r="E2255">
            <v>544495</v>
          </cell>
          <cell r="F2255" t="str">
            <v>Operations</v>
          </cell>
          <cell r="G2255" t="str">
            <v>Assistant General Manager</v>
          </cell>
        </row>
        <row r="2256">
          <cell r="B2256">
            <v>544589</v>
          </cell>
          <cell r="C2256" t="str">
            <v>ABEL-161</v>
          </cell>
          <cell r="D2256" t="str">
            <v>Hasib Ahmed</v>
          </cell>
          <cell r="E2256">
            <v>544589</v>
          </cell>
          <cell r="F2256" t="str">
            <v>Business Development &amp; Research</v>
          </cell>
          <cell r="G2256" t="str">
            <v>Assistant Manager</v>
          </cell>
        </row>
        <row r="2257">
          <cell r="B2257">
            <v>544598</v>
          </cell>
          <cell r="C2257" t="str">
            <v>ABEL-163</v>
          </cell>
          <cell r="D2257" t="str">
            <v>Md. Maminul Islam</v>
          </cell>
          <cell r="E2257">
            <v>544598</v>
          </cell>
          <cell r="F2257" t="str">
            <v>Sales</v>
          </cell>
          <cell r="G2257" t="str">
            <v>Territory Sales Manager</v>
          </cell>
        </row>
        <row r="2258">
          <cell r="B2258">
            <v>545785</v>
          </cell>
          <cell r="C2258" t="str">
            <v>ABEL-F-282</v>
          </cell>
          <cell r="D2258" t="str">
            <v>Md. Tariful Islam Badal</v>
          </cell>
          <cell r="E2258">
            <v>545785</v>
          </cell>
          <cell r="F2258" t="str">
            <v>Maintenance</v>
          </cell>
          <cell r="G2258" t="str">
            <v>Assistant Manager</v>
          </cell>
        </row>
        <row r="2259">
          <cell r="B2259">
            <v>548402</v>
          </cell>
          <cell r="C2259" t="str">
            <v>ABEL-178</v>
          </cell>
          <cell r="D2259" t="str">
            <v>Md. Abdullah</v>
          </cell>
          <cell r="E2259">
            <v>548402</v>
          </cell>
          <cell r="F2259" t="str">
            <v>Supply Chain</v>
          </cell>
          <cell r="G2259" t="str">
            <v>Senior Executive</v>
          </cell>
        </row>
        <row r="2260">
          <cell r="B2260">
            <v>548768</v>
          </cell>
          <cell r="C2260" t="str">
            <v>ABEL-180</v>
          </cell>
          <cell r="D2260" t="str">
            <v>Suvasish Mondal</v>
          </cell>
          <cell r="E2260">
            <v>548768</v>
          </cell>
          <cell r="F2260" t="str">
            <v>HR</v>
          </cell>
          <cell r="G2260" t="str">
            <v>Senior Executive</v>
          </cell>
        </row>
        <row r="2261">
          <cell r="B2261">
            <v>548966</v>
          </cell>
          <cell r="C2261" t="str">
            <v>ABEL-185</v>
          </cell>
          <cell r="D2261" t="str">
            <v>Md. Shafiqul Islam</v>
          </cell>
          <cell r="E2261">
            <v>548966</v>
          </cell>
          <cell r="F2261" t="str">
            <v>Sales</v>
          </cell>
          <cell r="G2261" t="str">
            <v>Territory Sales Manager</v>
          </cell>
        </row>
        <row r="2262">
          <cell r="B2262">
            <v>548994</v>
          </cell>
          <cell r="C2262" t="str">
            <v>ABEL-186</v>
          </cell>
          <cell r="D2262" t="str">
            <v>Md. Shakilun Nabi</v>
          </cell>
          <cell r="E2262">
            <v>548994</v>
          </cell>
          <cell r="F2262" t="str">
            <v>Operations</v>
          </cell>
          <cell r="G2262" t="str">
            <v>Executive</v>
          </cell>
        </row>
        <row r="2263">
          <cell r="B2263">
            <v>549380</v>
          </cell>
          <cell r="C2263" t="str">
            <v>AHHL-1797</v>
          </cell>
          <cell r="D2263" t="str">
            <v>Manas Kanti Das</v>
          </cell>
          <cell r="E2263">
            <v>549380</v>
          </cell>
          <cell r="F2263" t="str">
            <v>Sales Admin</v>
          </cell>
          <cell r="G2263" t="str">
            <v>Executive</v>
          </cell>
        </row>
        <row r="2264">
          <cell r="B2264">
            <v>549446</v>
          </cell>
          <cell r="C2264" t="str">
            <v>ABEL-189</v>
          </cell>
          <cell r="D2264" t="str">
            <v>Md. Iqbal Hossain</v>
          </cell>
          <cell r="E2264">
            <v>549446</v>
          </cell>
          <cell r="F2264" t="str">
            <v>Sales</v>
          </cell>
          <cell r="G2264" t="str">
            <v>Territory Sales Manager</v>
          </cell>
        </row>
        <row r="2265">
          <cell r="B2265">
            <v>549503</v>
          </cell>
          <cell r="C2265" t="str">
            <v>ABEL-191</v>
          </cell>
          <cell r="D2265" t="str">
            <v>Md. Shahnewaj</v>
          </cell>
          <cell r="E2265">
            <v>549503</v>
          </cell>
          <cell r="F2265" t="str">
            <v>Supply Chain</v>
          </cell>
          <cell r="G2265" t="str">
            <v>Senior Executive</v>
          </cell>
        </row>
        <row r="2266">
          <cell r="B2266">
            <v>550510</v>
          </cell>
          <cell r="C2266" t="str">
            <v>ABEL-201</v>
          </cell>
          <cell r="D2266" t="str">
            <v>Md. Sayed Hossain Tushar</v>
          </cell>
          <cell r="E2266">
            <v>550510</v>
          </cell>
          <cell r="F2266" t="str">
            <v>Supply Chain</v>
          </cell>
          <cell r="G2266" t="str">
            <v>Executive</v>
          </cell>
        </row>
        <row r="2267">
          <cell r="B2267">
            <v>550694</v>
          </cell>
          <cell r="C2267" t="str">
            <v>ABEL-203</v>
          </cell>
          <cell r="D2267" t="str">
            <v>Md. Abubakar Siddik</v>
          </cell>
          <cell r="E2267">
            <v>550694</v>
          </cell>
          <cell r="F2267" t="str">
            <v>Sales</v>
          </cell>
          <cell r="G2267" t="str">
            <v>Territory Sales Manager</v>
          </cell>
        </row>
        <row r="2268">
          <cell r="B2268">
            <v>551379</v>
          </cell>
          <cell r="C2268" t="str">
            <v>ABEL-214</v>
          </cell>
          <cell r="D2268" t="str">
            <v>Md. Osman Goni</v>
          </cell>
          <cell r="E2268">
            <v>551379</v>
          </cell>
          <cell r="F2268" t="str">
            <v>Sales</v>
          </cell>
          <cell r="G2268" t="str">
            <v>Area Sales Manager</v>
          </cell>
        </row>
        <row r="2269">
          <cell r="B2269">
            <v>551698</v>
          </cell>
          <cell r="C2269" t="str">
            <v>ABEL-227</v>
          </cell>
          <cell r="D2269" t="str">
            <v>Arifuzzaman Mian</v>
          </cell>
          <cell r="E2269">
            <v>551698</v>
          </cell>
          <cell r="F2269" t="str">
            <v>Supply Chain</v>
          </cell>
          <cell r="G2269" t="str">
            <v>Senior Executive</v>
          </cell>
        </row>
        <row r="2270">
          <cell r="B2270">
            <v>551986</v>
          </cell>
          <cell r="C2270" t="str">
            <v>ABEL-228</v>
          </cell>
          <cell r="D2270" t="str">
            <v>Md. Sakib Hasan Plabon</v>
          </cell>
          <cell r="E2270">
            <v>551986</v>
          </cell>
          <cell r="F2270" t="str">
            <v>Finance &amp; Accounts</v>
          </cell>
          <cell r="G2270" t="str">
            <v>Senior Executive</v>
          </cell>
        </row>
        <row r="2271">
          <cell r="B2271">
            <v>553033</v>
          </cell>
          <cell r="C2271" t="str">
            <v>ABEL-F-622</v>
          </cell>
          <cell r="D2271" t="str">
            <v>Md. Sakib Hossain Khan</v>
          </cell>
          <cell r="E2271">
            <v>553033</v>
          </cell>
          <cell r="F2271" t="str">
            <v>Accounts And Finance</v>
          </cell>
          <cell r="G2271" t="str">
            <v>Junior Executive</v>
          </cell>
        </row>
        <row r="2272">
          <cell r="B2272">
            <v>553255</v>
          </cell>
          <cell r="C2272" t="str">
            <v>ABEL-246</v>
          </cell>
          <cell r="D2272" t="str">
            <v>Mohammad Abdus Salam Azad</v>
          </cell>
          <cell r="E2272">
            <v>553255</v>
          </cell>
          <cell r="F2272" t="str">
            <v>Sales &amp; Marketing</v>
          </cell>
          <cell r="G2272" t="str">
            <v>Deputy General Manager</v>
          </cell>
        </row>
        <row r="2273">
          <cell r="B2273">
            <v>554260</v>
          </cell>
          <cell r="C2273" t="str">
            <v>ABEL-F-679</v>
          </cell>
          <cell r="D2273" t="str">
            <v>Suman Sarker</v>
          </cell>
          <cell r="E2273">
            <v>554260</v>
          </cell>
          <cell r="F2273" t="str">
            <v>Maintenance</v>
          </cell>
          <cell r="G2273" t="str">
            <v>Assistant Manager</v>
          </cell>
        </row>
        <row r="2274">
          <cell r="B2274">
            <v>555513</v>
          </cell>
          <cell r="C2274" t="str">
            <v>ABEL-303</v>
          </cell>
          <cell r="D2274" t="str">
            <v>Md. Imran Hossain</v>
          </cell>
          <cell r="E2274">
            <v>555513</v>
          </cell>
          <cell r="F2274" t="str">
            <v>Distribution</v>
          </cell>
          <cell r="G2274" t="str">
            <v>Junior Executive</v>
          </cell>
        </row>
        <row r="2275">
          <cell r="B2275">
            <v>555811</v>
          </cell>
          <cell r="C2275" t="str">
            <v>ABEL-307</v>
          </cell>
          <cell r="D2275" t="str">
            <v>Md. Yeasin Arafat</v>
          </cell>
          <cell r="E2275">
            <v>555811</v>
          </cell>
          <cell r="F2275" t="str">
            <v>Operations</v>
          </cell>
          <cell r="G2275" t="str">
            <v>Executive</v>
          </cell>
        </row>
        <row r="2276">
          <cell r="B2276">
            <v>556578</v>
          </cell>
          <cell r="C2276" t="str">
            <v>ABEL-329</v>
          </cell>
          <cell r="D2276" t="str">
            <v>Rezaul Haider</v>
          </cell>
          <cell r="E2276">
            <v>556578</v>
          </cell>
          <cell r="F2276" t="str">
            <v>Sales</v>
          </cell>
          <cell r="G2276" t="str">
            <v>Regional Sales Manager</v>
          </cell>
        </row>
        <row r="2277">
          <cell r="B2277">
            <v>557840</v>
          </cell>
          <cell r="C2277" t="str">
            <v>ABEL-346</v>
          </cell>
          <cell r="D2277" t="str">
            <v>Md. Yousuf Sazid</v>
          </cell>
          <cell r="E2277">
            <v>557840</v>
          </cell>
          <cell r="F2277" t="str">
            <v>Operations</v>
          </cell>
          <cell r="G2277" t="str">
            <v>Assistant Manager</v>
          </cell>
        </row>
        <row r="2278">
          <cell r="B2278">
            <v>559312</v>
          </cell>
          <cell r="C2278" t="str">
            <v>ABEL-365</v>
          </cell>
          <cell r="D2278" t="str">
            <v>Md. Billal Hossain</v>
          </cell>
          <cell r="E2278">
            <v>559312</v>
          </cell>
          <cell r="F2278" t="str">
            <v>Institutional Sales</v>
          </cell>
          <cell r="G2278" t="str">
            <v>Assistant Manager</v>
          </cell>
        </row>
        <row r="2279">
          <cell r="B2279">
            <v>559591</v>
          </cell>
          <cell r="C2279" t="str">
            <v>ABEL-F-1013</v>
          </cell>
          <cell r="D2279" t="str">
            <v>Mr. Atikur Rahman</v>
          </cell>
          <cell r="E2279">
            <v>559591</v>
          </cell>
          <cell r="F2279" t="str">
            <v>Services</v>
          </cell>
          <cell r="G2279" t="str">
            <v>Executive</v>
          </cell>
        </row>
        <row r="2280">
          <cell r="B2280">
            <v>560010</v>
          </cell>
          <cell r="C2280" t="str">
            <v>ABEL-374</v>
          </cell>
          <cell r="D2280" t="str">
            <v>Md. Abdur Rahim</v>
          </cell>
          <cell r="E2280">
            <v>560010</v>
          </cell>
          <cell r="F2280" t="str">
            <v>RTM</v>
          </cell>
          <cell r="G2280" t="str">
            <v>Assistant Manager</v>
          </cell>
        </row>
        <row r="2281">
          <cell r="B2281">
            <v>560398</v>
          </cell>
          <cell r="C2281" t="str">
            <v>ABEL-376</v>
          </cell>
          <cell r="D2281" t="str">
            <v>Minarul Islam</v>
          </cell>
          <cell r="E2281">
            <v>560398</v>
          </cell>
          <cell r="F2281" t="str">
            <v>Quality Control</v>
          </cell>
          <cell r="G2281" t="str">
            <v>Assistant Manager</v>
          </cell>
        </row>
        <row r="2282">
          <cell r="B2282">
            <v>560567</v>
          </cell>
          <cell r="C2282" t="str">
            <v>ABEL-382</v>
          </cell>
          <cell r="D2282" t="str">
            <v>Md. Golam Mostofa</v>
          </cell>
          <cell r="E2282">
            <v>560567</v>
          </cell>
          <cell r="F2282" t="str">
            <v>Supply Chain</v>
          </cell>
          <cell r="G2282" t="str">
            <v>Senior Executive</v>
          </cell>
        </row>
        <row r="2283">
          <cell r="B2283">
            <v>561106</v>
          </cell>
          <cell r="C2283" t="str">
            <v>ABEL-390</v>
          </cell>
          <cell r="D2283" t="str">
            <v>Md. Ubaidur Rahman</v>
          </cell>
          <cell r="E2283">
            <v>561106</v>
          </cell>
          <cell r="F2283" t="str">
            <v>Distribution</v>
          </cell>
          <cell r="G2283" t="str">
            <v>Junior Executive</v>
          </cell>
        </row>
        <row r="2284">
          <cell r="B2284">
            <v>561137</v>
          </cell>
          <cell r="C2284" t="str">
            <v>ABEL-392</v>
          </cell>
          <cell r="D2284" t="str">
            <v xml:space="preserve">Md. Jabed Chowdhury </v>
          </cell>
          <cell r="E2284">
            <v>561137</v>
          </cell>
          <cell r="F2284" t="str">
            <v>Sales Monitoring &amp; Tracking</v>
          </cell>
          <cell r="G2284" t="str">
            <v>Senior Executive</v>
          </cell>
        </row>
        <row r="2285">
          <cell r="B2285">
            <v>561605</v>
          </cell>
          <cell r="C2285" t="str">
            <v>ABEL-404</v>
          </cell>
          <cell r="D2285" t="str">
            <v>Md. Shamsul Alam Roni</v>
          </cell>
          <cell r="E2285">
            <v>561605</v>
          </cell>
          <cell r="F2285" t="str">
            <v>Distribution</v>
          </cell>
          <cell r="G2285" t="str">
            <v>Senior Executive</v>
          </cell>
        </row>
        <row r="2286">
          <cell r="B2286">
            <v>561941</v>
          </cell>
          <cell r="C2286" t="str">
            <v>ABEL-406</v>
          </cell>
          <cell r="D2286" t="str">
            <v xml:space="preserve">Md. Shihab Uddin </v>
          </cell>
          <cell r="E2286">
            <v>561941</v>
          </cell>
          <cell r="F2286" t="str">
            <v>Distribution</v>
          </cell>
          <cell r="G2286" t="str">
            <v>Executive</v>
          </cell>
        </row>
        <row r="2287">
          <cell r="B2287">
            <v>562587</v>
          </cell>
          <cell r="C2287" t="str">
            <v>ABEL-F-1047</v>
          </cell>
          <cell r="D2287" t="str">
            <v>KRISHNO KUMAR PAUL</v>
          </cell>
          <cell r="E2287">
            <v>562587</v>
          </cell>
          <cell r="F2287" t="str">
            <v>Operations</v>
          </cell>
          <cell r="G2287" t="str">
            <v>Executive</v>
          </cell>
        </row>
        <row r="2288">
          <cell r="B2288">
            <v>562592</v>
          </cell>
          <cell r="C2288" t="str">
            <v>ABEL-F-1049</v>
          </cell>
          <cell r="D2288" t="str">
            <v>Md. Shirazum Munir</v>
          </cell>
          <cell r="E2288">
            <v>562592</v>
          </cell>
          <cell r="F2288" t="str">
            <v>Operations</v>
          </cell>
          <cell r="G2288" t="str">
            <v>Executive</v>
          </cell>
        </row>
        <row r="2289">
          <cell r="B2289">
            <v>562612</v>
          </cell>
          <cell r="C2289" t="str">
            <v>ABEL-410</v>
          </cell>
          <cell r="D2289" t="str">
            <v>Md. Fazlur Rahaman</v>
          </cell>
          <cell r="E2289">
            <v>562612</v>
          </cell>
          <cell r="F2289" t="str">
            <v>Sales</v>
          </cell>
          <cell r="G2289" t="str">
            <v>Territory Sales Manager</v>
          </cell>
        </row>
        <row r="2290">
          <cell r="B2290">
            <v>562874</v>
          </cell>
          <cell r="C2290" t="str">
            <v>ABEL-F-1054</v>
          </cell>
          <cell r="D2290" t="str">
            <v>Johan Uddin</v>
          </cell>
          <cell r="E2290">
            <v>562874</v>
          </cell>
          <cell r="F2290" t="str">
            <v>Operations</v>
          </cell>
          <cell r="G2290" t="str">
            <v>Executive</v>
          </cell>
        </row>
        <row r="2291">
          <cell r="B2291">
            <v>562882</v>
          </cell>
          <cell r="C2291" t="str">
            <v>ABEL-416</v>
          </cell>
          <cell r="D2291" t="str">
            <v>Md. Palash Gazi</v>
          </cell>
          <cell r="E2291">
            <v>562882</v>
          </cell>
          <cell r="F2291" t="str">
            <v>Sales</v>
          </cell>
          <cell r="G2291" t="str">
            <v>Territory Sales Manager</v>
          </cell>
        </row>
        <row r="2292">
          <cell r="B2292">
            <v>563372</v>
          </cell>
          <cell r="C2292" t="str">
            <v>ABEL-419</v>
          </cell>
          <cell r="D2292" t="str">
            <v>Md. Shohanur Rahman</v>
          </cell>
          <cell r="E2292">
            <v>563372</v>
          </cell>
          <cell r="F2292" t="str">
            <v>Sales</v>
          </cell>
          <cell r="G2292" t="str">
            <v>Territory Sales Manager</v>
          </cell>
        </row>
        <row r="2293">
          <cell r="B2293">
            <v>563544</v>
          </cell>
          <cell r="C2293" t="str">
            <v>ABEL-421</v>
          </cell>
          <cell r="D2293" t="str">
            <v xml:space="preserve">Rezaul Haque Siraji </v>
          </cell>
          <cell r="E2293">
            <v>563544</v>
          </cell>
          <cell r="F2293" t="str">
            <v>Institutional Sales</v>
          </cell>
          <cell r="G2293" t="str">
            <v>Senior Manager</v>
          </cell>
        </row>
        <row r="2294">
          <cell r="B2294">
            <v>563611</v>
          </cell>
          <cell r="C2294" t="str">
            <v>ABEL-422</v>
          </cell>
          <cell r="D2294" t="str">
            <v>Md. Al Amin</v>
          </cell>
          <cell r="E2294">
            <v>563611</v>
          </cell>
          <cell r="F2294" t="str">
            <v>Sales</v>
          </cell>
          <cell r="G2294" t="str">
            <v>Territory Sales Manager</v>
          </cell>
        </row>
        <row r="2295">
          <cell r="B2295">
            <v>563662</v>
          </cell>
          <cell r="C2295" t="str">
            <v>ABEL-423</v>
          </cell>
          <cell r="D2295" t="str">
            <v>Emran Hossain</v>
          </cell>
          <cell r="E2295">
            <v>563662</v>
          </cell>
          <cell r="F2295" t="str">
            <v>Sales</v>
          </cell>
          <cell r="G2295" t="str">
            <v>Territory Sales Manager</v>
          </cell>
        </row>
        <row r="2296">
          <cell r="B2296">
            <v>545896</v>
          </cell>
          <cell r="C2296" t="str">
            <v>UMFML-FR-01</v>
          </cell>
          <cell r="D2296" t="str">
            <v>Ferdous Azam</v>
          </cell>
          <cell r="E2296">
            <v>545896</v>
          </cell>
          <cell r="F2296" t="str">
            <v>QA</v>
          </cell>
          <cell r="G2296" t="str">
            <v>Deputy Manager</v>
          </cell>
        </row>
        <row r="2297">
          <cell r="B2297">
            <v>560908</v>
          </cell>
          <cell r="C2297" t="str">
            <v>UMFML-FR-12</v>
          </cell>
          <cell r="D2297" t="str">
            <v>Md Sajib Mia</v>
          </cell>
          <cell r="E2297">
            <v>560908</v>
          </cell>
          <cell r="F2297" t="str">
            <v>QA</v>
          </cell>
          <cell r="G2297" t="str">
            <v>Executive</v>
          </cell>
        </row>
        <row r="2298">
          <cell r="B2298">
            <v>561208</v>
          </cell>
          <cell r="C2298" t="str">
            <v>UMFML-FR-14</v>
          </cell>
          <cell r="D2298" t="str">
            <v>Alomgir Hossain</v>
          </cell>
          <cell r="E2298">
            <v>561208</v>
          </cell>
          <cell r="F2298" t="str">
            <v>Production</v>
          </cell>
          <cell r="G2298" t="str">
            <v>Executive</v>
          </cell>
        </row>
        <row r="2299">
          <cell r="B2299">
            <v>460330</v>
          </cell>
          <cell r="C2299" t="str">
            <v>R2256</v>
          </cell>
          <cell r="D2299" t="str">
            <v>Md. Shimul Mahmud</v>
          </cell>
          <cell r="E2299">
            <v>460330</v>
          </cell>
          <cell r="F2299" t="str">
            <v>Trust</v>
          </cell>
          <cell r="G2299" t="str">
            <v>Senior Executive</v>
          </cell>
        </row>
        <row r="2300">
          <cell r="B2300">
            <v>524175</v>
          </cell>
          <cell r="C2300" t="str">
            <v>AVL-R14</v>
          </cell>
          <cell r="D2300" t="str">
            <v>Shaharia Sharmin</v>
          </cell>
          <cell r="E2300">
            <v>524175</v>
          </cell>
          <cell r="F2300" t="str">
            <v>Trust</v>
          </cell>
          <cell r="G2300" t="str">
            <v>Executive</v>
          </cell>
        </row>
        <row r="2301">
          <cell r="B2301">
            <v>525227</v>
          </cell>
          <cell r="C2301" t="str">
            <v>AVL-R27</v>
          </cell>
          <cell r="D2301" t="str">
            <v>Likhon Shaha</v>
          </cell>
          <cell r="E2301">
            <v>525227</v>
          </cell>
          <cell r="F2301" t="str">
            <v>Trust</v>
          </cell>
          <cell r="G2301" t="str">
            <v>Executive</v>
          </cell>
        </row>
        <row r="2302">
          <cell r="B2302">
            <v>525251</v>
          </cell>
          <cell r="C2302" t="str">
            <v>AVL-R29</v>
          </cell>
          <cell r="D2302" t="str">
            <v>Tanvir Mahmud</v>
          </cell>
          <cell r="E2302">
            <v>525251</v>
          </cell>
          <cell r="F2302" t="str">
            <v>Trust</v>
          </cell>
          <cell r="G2302" t="str">
            <v>Senior Manager</v>
          </cell>
        </row>
        <row r="2303">
          <cell r="B2303">
            <v>529003</v>
          </cell>
          <cell r="C2303" t="str">
            <v>AFBL-R3066</v>
          </cell>
          <cell r="D2303" t="str">
            <v>Molla Omar Faruk</v>
          </cell>
          <cell r="E2303">
            <v>529003</v>
          </cell>
          <cell r="F2303" t="str">
            <v>Trust</v>
          </cell>
          <cell r="G2303" t="str">
            <v>Executive</v>
          </cell>
        </row>
        <row r="2304">
          <cell r="B2304">
            <v>529059</v>
          </cell>
          <cell r="C2304" t="str">
            <v>AVL-R55</v>
          </cell>
          <cell r="D2304" t="str">
            <v>Md. Rasel Islam</v>
          </cell>
          <cell r="E2304">
            <v>529059</v>
          </cell>
          <cell r="F2304" t="str">
            <v>Trust</v>
          </cell>
          <cell r="G2304" t="str">
            <v>Executive</v>
          </cell>
        </row>
        <row r="2305">
          <cell r="B2305">
            <v>529060</v>
          </cell>
          <cell r="C2305" t="str">
            <v>AVL-R56</v>
          </cell>
          <cell r="D2305" t="str">
            <v>Md. Zakaria Pervez</v>
          </cell>
          <cell r="E2305">
            <v>529060</v>
          </cell>
          <cell r="F2305" t="str">
            <v>Trust</v>
          </cell>
          <cell r="G2305" t="str">
            <v>Executive</v>
          </cell>
        </row>
        <row r="2306">
          <cell r="B2306">
            <v>529400</v>
          </cell>
          <cell r="C2306" t="str">
            <v>AVL-C27</v>
          </cell>
          <cell r="D2306" t="str">
            <v>Farhana Akter</v>
          </cell>
          <cell r="E2306">
            <v>529400</v>
          </cell>
          <cell r="F2306" t="str">
            <v>Trust</v>
          </cell>
          <cell r="G2306" t="str">
            <v>Executive</v>
          </cell>
        </row>
        <row r="2307">
          <cell r="B2307">
            <v>529401</v>
          </cell>
          <cell r="C2307" t="str">
            <v>AVL-C28</v>
          </cell>
          <cell r="D2307" t="str">
            <v>Mst. Kamrunnahar Sumi</v>
          </cell>
          <cell r="E2307">
            <v>529401</v>
          </cell>
          <cell r="F2307" t="str">
            <v>Trust</v>
          </cell>
          <cell r="G2307" t="str">
            <v>Executive</v>
          </cell>
        </row>
        <row r="2308">
          <cell r="B2308">
            <v>529978</v>
          </cell>
          <cell r="C2308" t="str">
            <v>AVL-84</v>
          </cell>
          <cell r="D2308" t="str">
            <v>Md. Shadat Hossen Rayhan</v>
          </cell>
          <cell r="E2308">
            <v>529978</v>
          </cell>
          <cell r="F2308" t="str">
            <v>Trust</v>
          </cell>
          <cell r="G2308" t="str">
            <v>Junior Executive</v>
          </cell>
        </row>
        <row r="2309">
          <cell r="B2309">
            <v>530289</v>
          </cell>
          <cell r="C2309" t="str">
            <v>AVL-87</v>
          </cell>
          <cell r="D2309" t="str">
            <v>Md. Robiul Karim</v>
          </cell>
          <cell r="E2309">
            <v>530289</v>
          </cell>
          <cell r="F2309" t="str">
            <v>Accounts And Finance</v>
          </cell>
          <cell r="G2309" t="str">
            <v>Executive</v>
          </cell>
        </row>
        <row r="2310">
          <cell r="B2310">
            <v>538950</v>
          </cell>
          <cell r="C2310" t="str">
            <v>AVL-125</v>
          </cell>
          <cell r="D2310" t="str">
            <v>Shamima Sakendar</v>
          </cell>
          <cell r="E2310">
            <v>538950</v>
          </cell>
          <cell r="F2310" t="str">
            <v>Trust</v>
          </cell>
          <cell r="G2310" t="str">
            <v>Junior Executive</v>
          </cell>
        </row>
        <row r="2311">
          <cell r="B2311">
            <v>539353</v>
          </cell>
          <cell r="C2311" t="str">
            <v>AVL-126</v>
          </cell>
          <cell r="D2311" t="str">
            <v>Palash Mahmud</v>
          </cell>
          <cell r="E2311">
            <v>539353</v>
          </cell>
          <cell r="F2311" t="str">
            <v>Trust</v>
          </cell>
          <cell r="G2311" t="str">
            <v>Executive</v>
          </cell>
        </row>
        <row r="2312">
          <cell r="B2312">
            <v>539362</v>
          </cell>
          <cell r="C2312" t="str">
            <v>FR5145</v>
          </cell>
          <cell r="D2312" t="str">
            <v>Md. Rokunn Aman</v>
          </cell>
          <cell r="E2312">
            <v>539362</v>
          </cell>
          <cell r="F2312" t="str">
            <v>Trust</v>
          </cell>
          <cell r="G2312" t="str">
            <v>Field Officer</v>
          </cell>
        </row>
        <row r="2313">
          <cell r="B2313">
            <v>541019</v>
          </cell>
          <cell r="C2313" t="str">
            <v>UAMT-001</v>
          </cell>
          <cell r="D2313" t="str">
            <v>Sofiullah</v>
          </cell>
          <cell r="E2313">
            <v>541019</v>
          </cell>
          <cell r="F2313" t="str">
            <v>Trust</v>
          </cell>
          <cell r="G2313" t="str">
            <v>Senior Executive</v>
          </cell>
        </row>
        <row r="2314">
          <cell r="B2314">
            <v>543884</v>
          </cell>
          <cell r="C2314" t="str">
            <v>UAMT-004</v>
          </cell>
          <cell r="D2314" t="str">
            <v>Md. Hasibul Hasan</v>
          </cell>
          <cell r="E2314">
            <v>543884</v>
          </cell>
          <cell r="F2314" t="str">
            <v>Trust</v>
          </cell>
          <cell r="G2314" t="str">
            <v>Junior Executive</v>
          </cell>
        </row>
        <row r="2315">
          <cell r="B2315">
            <v>544067</v>
          </cell>
          <cell r="C2315" t="str">
            <v>UAMT-005</v>
          </cell>
          <cell r="D2315" t="str">
            <v>Rajib Karmaker</v>
          </cell>
          <cell r="E2315">
            <v>544067</v>
          </cell>
          <cell r="F2315" t="str">
            <v>Trust</v>
          </cell>
          <cell r="G2315" t="str">
            <v>Junior Executive</v>
          </cell>
        </row>
        <row r="2316">
          <cell r="B2316">
            <v>552279</v>
          </cell>
          <cell r="C2316" t="str">
            <v>UAMT-015</v>
          </cell>
          <cell r="D2316" t="str">
            <v>Mahmuda Akter</v>
          </cell>
          <cell r="E2316">
            <v>552279</v>
          </cell>
          <cell r="F2316" t="str">
            <v>Trust</v>
          </cell>
          <cell r="G2316" t="str">
            <v>Junior Executive</v>
          </cell>
        </row>
        <row r="2317">
          <cell r="B2317">
            <v>552280</v>
          </cell>
          <cell r="C2317" t="str">
            <v>UAMT-016</v>
          </cell>
          <cell r="D2317" t="str">
            <v>Md. Ratul Sheikh</v>
          </cell>
          <cell r="E2317">
            <v>552280</v>
          </cell>
          <cell r="F2317" t="str">
            <v>Trust</v>
          </cell>
          <cell r="G2317" t="str">
            <v>Junior Executive</v>
          </cell>
        </row>
        <row r="2318">
          <cell r="B2318">
            <v>555601</v>
          </cell>
          <cell r="C2318" t="str">
            <v>UAMT-017</v>
          </cell>
          <cell r="D2318" t="str">
            <v>Rafa Faria Khanam</v>
          </cell>
          <cell r="E2318">
            <v>555601</v>
          </cell>
          <cell r="F2318" t="str">
            <v>Trust</v>
          </cell>
          <cell r="G2318" t="str">
            <v>Junior Executive</v>
          </cell>
        </row>
        <row r="2319">
          <cell r="B2319">
            <v>555602</v>
          </cell>
          <cell r="C2319" t="str">
            <v>UAMT-018</v>
          </cell>
          <cell r="D2319" t="str">
            <v>Mariatul Islam</v>
          </cell>
          <cell r="E2319">
            <v>555602</v>
          </cell>
          <cell r="F2319" t="str">
            <v>Trust</v>
          </cell>
          <cell r="G2319" t="str">
            <v>Junior Executive</v>
          </cell>
        </row>
        <row r="2320">
          <cell r="B2320">
            <v>555604</v>
          </cell>
          <cell r="C2320" t="str">
            <v>UAMT-019</v>
          </cell>
          <cell r="D2320" t="str">
            <v>Amena Akter</v>
          </cell>
          <cell r="E2320">
            <v>555604</v>
          </cell>
          <cell r="F2320" t="str">
            <v>Trust</v>
          </cell>
          <cell r="G2320" t="str">
            <v>Junior Executive</v>
          </cell>
        </row>
        <row r="2321">
          <cell r="B2321">
            <v>555606</v>
          </cell>
          <cell r="C2321" t="str">
            <v>UAMT-020</v>
          </cell>
          <cell r="D2321" t="str">
            <v>Kazi Sohanul Haque</v>
          </cell>
          <cell r="E2321">
            <v>555606</v>
          </cell>
          <cell r="F2321" t="str">
            <v>Trust</v>
          </cell>
          <cell r="G2321" t="str">
            <v>Junior Executive</v>
          </cell>
        </row>
        <row r="2322">
          <cell r="B2322">
            <v>555608</v>
          </cell>
          <cell r="C2322" t="str">
            <v>UAMT-021</v>
          </cell>
          <cell r="D2322" t="str">
            <v>Jannatul Naim</v>
          </cell>
          <cell r="E2322">
            <v>555608</v>
          </cell>
          <cell r="F2322" t="str">
            <v>Trust</v>
          </cell>
          <cell r="G2322" t="str">
            <v>Junior Executive</v>
          </cell>
        </row>
        <row r="2323">
          <cell r="B2323">
            <v>558370</v>
          </cell>
          <cell r="C2323" t="str">
            <v>UAMT-022</v>
          </cell>
          <cell r="D2323" t="str">
            <v xml:space="preserve">Mohammadullah Ashrafi </v>
          </cell>
          <cell r="E2323">
            <v>558370</v>
          </cell>
          <cell r="F2323" t="str">
            <v>Trust</v>
          </cell>
          <cell r="G2323" t="str">
            <v>Junior Executive</v>
          </cell>
        </row>
        <row r="2324">
          <cell r="B2324">
            <v>560192</v>
          </cell>
          <cell r="C2324" t="str">
            <v>UAMT-023</v>
          </cell>
          <cell r="D2324" t="str">
            <v>Md. Tajammul -Al- Haque</v>
          </cell>
          <cell r="E2324">
            <v>560192</v>
          </cell>
          <cell r="F2324" t="str">
            <v>Trust</v>
          </cell>
          <cell r="G2324" t="str">
            <v>Adviser</v>
          </cell>
        </row>
        <row r="2325">
          <cell r="B2325">
            <v>563742</v>
          </cell>
          <cell r="C2325" t="str">
            <v>AMT-024</v>
          </cell>
          <cell r="D2325" t="str">
            <v>Md. Shohidul Islam</v>
          </cell>
          <cell r="E2325">
            <v>563742</v>
          </cell>
          <cell r="F2325" t="str">
            <v>Akij Wellbeing Pharmacy</v>
          </cell>
          <cell r="G2325" t="str">
            <v>Junior Executive</v>
          </cell>
        </row>
        <row r="2326">
          <cell r="B2326">
            <v>563745</v>
          </cell>
          <cell r="C2326" t="str">
            <v>AMT-026</v>
          </cell>
          <cell r="D2326" t="str">
            <v>Mezba Uddin</v>
          </cell>
          <cell r="E2326">
            <v>563745</v>
          </cell>
          <cell r="F2326" t="str">
            <v>Akij Wellbeing Pharmacy</v>
          </cell>
          <cell r="G2326" t="str">
            <v>Junior Executive</v>
          </cell>
        </row>
        <row r="2327">
          <cell r="B2327">
            <v>555708</v>
          </cell>
          <cell r="C2327" t="str">
            <v>TPL-002</v>
          </cell>
          <cell r="D2327" t="str">
            <v>Mohammed Alamgir Chowdhury</v>
          </cell>
          <cell r="E2327">
            <v>555708</v>
          </cell>
          <cell r="F2327" t="str">
            <v>Operations</v>
          </cell>
          <cell r="G2327" t="str">
            <v>Assistant General Manager</v>
          </cell>
        </row>
        <row r="2328">
          <cell r="B2328">
            <v>558696</v>
          </cell>
          <cell r="C2328" t="str">
            <v>TPL-003</v>
          </cell>
          <cell r="D2328" t="str">
            <v>Md. Mahdi Hasan</v>
          </cell>
          <cell r="E2328">
            <v>558696</v>
          </cell>
          <cell r="F2328" t="str">
            <v>Civil</v>
          </cell>
          <cell r="G2328" t="str">
            <v>Senior Executive</v>
          </cell>
        </row>
        <row r="2329">
          <cell r="B2329">
            <v>559279</v>
          </cell>
          <cell r="C2329" t="str">
            <v>TPL-004</v>
          </cell>
          <cell r="D2329" t="str">
            <v>Md. Touhidul Haque Alif</v>
          </cell>
          <cell r="E2329">
            <v>559279</v>
          </cell>
          <cell r="F2329" t="str">
            <v>Civil</v>
          </cell>
          <cell r="G2329" t="str">
            <v>Junior Executive</v>
          </cell>
        </row>
        <row r="2330">
          <cell r="B2330">
            <v>559936</v>
          </cell>
          <cell r="C2330" t="str">
            <v>TPL-005</v>
          </cell>
          <cell r="D2330" t="str">
            <v>A K M Anamoul Haque</v>
          </cell>
          <cell r="E2330">
            <v>559936</v>
          </cell>
          <cell r="F2330" t="str">
            <v>Civil</v>
          </cell>
          <cell r="G2330" t="str">
            <v>Deputy Manager</v>
          </cell>
        </row>
        <row r="2331">
          <cell r="B2331">
            <v>560397</v>
          </cell>
          <cell r="C2331" t="str">
            <v>TPL-010</v>
          </cell>
          <cell r="D2331" t="str">
            <v>Md. Tyjul Islam</v>
          </cell>
          <cell r="E2331">
            <v>560397</v>
          </cell>
          <cell r="F2331" t="str">
            <v>Supply Chain</v>
          </cell>
          <cell r="G2331" t="str">
            <v>Senior Executive</v>
          </cell>
        </row>
        <row r="2332">
          <cell r="B2332">
            <v>462555</v>
          </cell>
          <cell r="C2332" t="str">
            <v>R2285</v>
          </cell>
          <cell r="D2332" t="str">
            <v>Md. Emran Hossain</v>
          </cell>
          <cell r="E2332">
            <v>462555</v>
          </cell>
          <cell r="F2332" t="str">
            <v>Furniture</v>
          </cell>
          <cell r="G2332" t="str">
            <v>Assistant Manager</v>
          </cell>
        </row>
        <row r="2333">
          <cell r="B2333">
            <v>548149</v>
          </cell>
          <cell r="C2333" t="str">
            <v>FR5521</v>
          </cell>
          <cell r="D2333" t="str">
            <v xml:space="preserve">Aliv Hasan </v>
          </cell>
          <cell r="E2333">
            <v>548149</v>
          </cell>
          <cell r="F2333" t="str">
            <v>Furniture</v>
          </cell>
          <cell r="G2333" t="str">
            <v>Junior Executive</v>
          </cell>
        </row>
        <row r="2334">
          <cell r="B2334">
            <v>553254</v>
          </cell>
          <cell r="C2334" t="str">
            <v>AFPL-002</v>
          </cell>
          <cell r="D2334" t="str">
            <v>Md. Abdullah Al Salman</v>
          </cell>
          <cell r="E2334">
            <v>553254</v>
          </cell>
          <cell r="F2334" t="str">
            <v>Furniture</v>
          </cell>
          <cell r="G2334" t="str">
            <v>Junior Executive</v>
          </cell>
        </row>
        <row r="2335">
          <cell r="B2335">
            <v>553706</v>
          </cell>
          <cell r="C2335" t="str">
            <v>AFPL-003</v>
          </cell>
          <cell r="D2335" t="str">
            <v>Abir Hossain</v>
          </cell>
          <cell r="E2335">
            <v>553706</v>
          </cell>
          <cell r="F2335" t="str">
            <v>Supply Chain</v>
          </cell>
          <cell r="G2335" t="str">
            <v>Executive</v>
          </cell>
        </row>
        <row r="2336">
          <cell r="B2336">
            <v>557534</v>
          </cell>
          <cell r="C2336" t="str">
            <v>FR6244</v>
          </cell>
          <cell r="D2336" t="str">
            <v>Mohammad Faruk Biswas</v>
          </cell>
          <cell r="E2336">
            <v>557534</v>
          </cell>
          <cell r="F2336" t="str">
            <v>Furniture</v>
          </cell>
          <cell r="G2336" t="str">
            <v>Senior Executive</v>
          </cell>
        </row>
        <row r="2337">
          <cell r="B2337">
            <v>560923</v>
          </cell>
          <cell r="C2337" t="str">
            <v>AFPL-004</v>
          </cell>
          <cell r="D2337" t="str">
            <v>Md. Nazmul Hasan Tanvir</v>
          </cell>
          <cell r="E2337">
            <v>560923</v>
          </cell>
          <cell r="F2337" t="str">
            <v>Operations</v>
          </cell>
          <cell r="G2337" t="str">
            <v>Executive</v>
          </cell>
        </row>
        <row r="2338">
          <cell r="B2338">
            <v>560944</v>
          </cell>
          <cell r="C2338" t="str">
            <v>AFPL-005</v>
          </cell>
          <cell r="D2338" t="str">
            <v>Md. Rabiul Islam</v>
          </cell>
          <cell r="E2338">
            <v>560944</v>
          </cell>
          <cell r="F2338" t="str">
            <v>Operations</v>
          </cell>
          <cell r="G2338" t="str">
            <v>Executive</v>
          </cell>
        </row>
        <row r="2339">
          <cell r="B2339">
            <v>561353</v>
          </cell>
          <cell r="C2339" t="str">
            <v>AFPL-006</v>
          </cell>
          <cell r="D2339" t="str">
            <v xml:space="preserve">Muniruzzaman </v>
          </cell>
          <cell r="E2339">
            <v>561353</v>
          </cell>
          <cell r="F2339" t="str">
            <v>Operations</v>
          </cell>
          <cell r="G2339" t="str">
            <v>Executive</v>
          </cell>
        </row>
        <row r="2340">
          <cell r="B2340">
            <v>525491</v>
          </cell>
          <cell r="C2340" t="str">
            <v>AVL-R38</v>
          </cell>
          <cell r="D2340" t="str">
            <v>Md. Ariful Islam</v>
          </cell>
          <cell r="E2340">
            <v>525491</v>
          </cell>
          <cell r="F2340" t="str">
            <v>Civil</v>
          </cell>
          <cell r="G2340" t="str">
            <v>Executive</v>
          </cell>
        </row>
        <row r="2341">
          <cell r="B2341">
            <v>529518</v>
          </cell>
          <cell r="C2341" t="str">
            <v>AVL-73</v>
          </cell>
          <cell r="D2341" t="str">
            <v>Md. Shariful Islam</v>
          </cell>
          <cell r="E2341">
            <v>529518</v>
          </cell>
          <cell r="F2341" t="str">
            <v>Civil</v>
          </cell>
          <cell r="G2341" t="str">
            <v>Assistant Engineer</v>
          </cell>
        </row>
        <row r="2342">
          <cell r="B2342">
            <v>542661</v>
          </cell>
          <cell r="C2342" t="str">
            <v>ABEL-102</v>
          </cell>
          <cell r="D2342" t="str">
            <v>Debasish Ch Debanth</v>
          </cell>
          <cell r="E2342">
            <v>542661</v>
          </cell>
          <cell r="F2342" t="str">
            <v>Operations</v>
          </cell>
          <cell r="G2342" t="str">
            <v>Deputy General Manager</v>
          </cell>
        </row>
        <row r="2343">
          <cell r="B2343">
            <v>547977</v>
          </cell>
          <cell r="C2343" t="str">
            <v>ABEL-F-335</v>
          </cell>
          <cell r="D2343" t="str">
            <v>Kazi Abdur Rahim</v>
          </cell>
          <cell r="E2343">
            <v>547977</v>
          </cell>
          <cell r="F2343" t="str">
            <v>Store</v>
          </cell>
          <cell r="G2343" t="str">
            <v>Junior Executive</v>
          </cell>
        </row>
        <row r="2344">
          <cell r="B2344">
            <v>551561</v>
          </cell>
          <cell r="C2344" t="str">
            <v>ABEL-217</v>
          </cell>
          <cell r="D2344" t="str">
            <v>Al Amin Miji</v>
          </cell>
          <cell r="E2344">
            <v>551561</v>
          </cell>
          <cell r="F2344" t="str">
            <v>Accounts And Finance</v>
          </cell>
          <cell r="G2344" t="str">
            <v>Deputy Manager</v>
          </cell>
        </row>
        <row r="2345">
          <cell r="B2345">
            <v>556025</v>
          </cell>
          <cell r="C2345" t="str">
            <v>ABEL-315</v>
          </cell>
          <cell r="D2345" t="str">
            <v>Joy Datta</v>
          </cell>
          <cell r="E2345">
            <v>556025</v>
          </cell>
          <cell r="F2345" t="str">
            <v>Planning &amp; Implementation</v>
          </cell>
          <cell r="G2345" t="str">
            <v>Executive</v>
          </cell>
        </row>
        <row r="2346">
          <cell r="B2346">
            <v>556693</v>
          </cell>
          <cell r="C2346" t="str">
            <v>ABEL-330</v>
          </cell>
          <cell r="D2346" t="str">
            <v>Ehatashamul Haque Tanim</v>
          </cell>
          <cell r="E2346">
            <v>556693</v>
          </cell>
          <cell r="F2346" t="str">
            <v>Supply Chain</v>
          </cell>
          <cell r="G2346" t="str">
            <v>Executive</v>
          </cell>
        </row>
        <row r="2347">
          <cell r="B2347">
            <v>556896</v>
          </cell>
          <cell r="C2347" t="str">
            <v>ABEL-334</v>
          </cell>
          <cell r="D2347" t="str">
            <v>Md. Beplob Sarkar</v>
          </cell>
          <cell r="E2347">
            <v>556896</v>
          </cell>
          <cell r="F2347" t="str">
            <v>Production</v>
          </cell>
          <cell r="G2347" t="str">
            <v>Assistant Manager</v>
          </cell>
        </row>
        <row r="2348">
          <cell r="B2348">
            <v>557166</v>
          </cell>
          <cell r="C2348" t="str">
            <v>ABEL-338</v>
          </cell>
          <cell r="D2348" t="str">
            <v>Md. Imran Hossain</v>
          </cell>
          <cell r="E2348">
            <v>557166</v>
          </cell>
          <cell r="F2348" t="str">
            <v>Finance &amp; Accounts</v>
          </cell>
          <cell r="G2348" t="str">
            <v>Executive</v>
          </cell>
        </row>
        <row r="2349">
          <cell r="B2349">
            <v>557779</v>
          </cell>
          <cell r="C2349" t="str">
            <v>ABEL-343</v>
          </cell>
          <cell r="D2349" t="str">
            <v>S. M. Muqtadirul Huq</v>
          </cell>
          <cell r="E2349">
            <v>557779</v>
          </cell>
          <cell r="F2349" t="str">
            <v>Brand</v>
          </cell>
          <cell r="G2349" t="str">
            <v>Assistant Manager</v>
          </cell>
        </row>
        <row r="2350">
          <cell r="B2350">
            <v>558048</v>
          </cell>
          <cell r="C2350" t="str">
            <v>ABEL-F-986</v>
          </cell>
          <cell r="D2350" t="str">
            <v>Md. Rifatul Islam</v>
          </cell>
          <cell r="E2350">
            <v>558048</v>
          </cell>
          <cell r="F2350" t="str">
            <v>Quality Control</v>
          </cell>
          <cell r="G2350" t="str">
            <v>Assistant Manager</v>
          </cell>
        </row>
        <row r="2351">
          <cell r="B2351">
            <v>558369</v>
          </cell>
          <cell r="C2351" t="str">
            <v>ABEL-353</v>
          </cell>
          <cell r="D2351" t="str">
            <v>Masud Hossen</v>
          </cell>
          <cell r="E2351">
            <v>558369</v>
          </cell>
          <cell r="F2351" t="str">
            <v>Commercial</v>
          </cell>
          <cell r="G2351" t="str">
            <v>Manager</v>
          </cell>
        </row>
        <row r="2352">
          <cell r="B2352">
            <v>558474</v>
          </cell>
          <cell r="C2352" t="str">
            <v>ABEL-354</v>
          </cell>
          <cell r="D2352" t="str">
            <v xml:space="preserve">Pranto Kumar Chakrabrati </v>
          </cell>
          <cell r="E2352">
            <v>558474</v>
          </cell>
          <cell r="F2352" t="str">
            <v>Operations</v>
          </cell>
          <cell r="G2352" t="str">
            <v>Assistant Manager</v>
          </cell>
        </row>
        <row r="2353">
          <cell r="B2353">
            <v>558713</v>
          </cell>
          <cell r="C2353" t="str">
            <v>ABEL-359</v>
          </cell>
          <cell r="D2353" t="str">
            <v>Md. Mijanur Rahaman Khan</v>
          </cell>
          <cell r="E2353">
            <v>558713</v>
          </cell>
          <cell r="F2353" t="str">
            <v>Export</v>
          </cell>
          <cell r="G2353" t="str">
            <v>Assistant General Manager</v>
          </cell>
        </row>
        <row r="2354">
          <cell r="B2354">
            <v>559330</v>
          </cell>
          <cell r="C2354" t="str">
            <v>ABEL-F-1010</v>
          </cell>
          <cell r="D2354" t="str">
            <v>Md. Abu Jobair</v>
          </cell>
          <cell r="E2354">
            <v>559330</v>
          </cell>
          <cell r="F2354" t="str">
            <v>Civil</v>
          </cell>
          <cell r="G2354" t="str">
            <v>Junior Executive</v>
          </cell>
        </row>
        <row r="2355">
          <cell r="B2355">
            <v>559455</v>
          </cell>
          <cell r="C2355" t="str">
            <v>ABEL-368</v>
          </cell>
          <cell r="D2355" t="str">
            <v>Parvej Mahmud</v>
          </cell>
          <cell r="E2355">
            <v>559455</v>
          </cell>
          <cell r="F2355" t="str">
            <v>Operations</v>
          </cell>
          <cell r="G2355" t="str">
            <v>Senior Executive</v>
          </cell>
        </row>
        <row r="2356">
          <cell r="B2356">
            <v>559490</v>
          </cell>
          <cell r="C2356" t="str">
            <v>ABEL-369</v>
          </cell>
          <cell r="D2356" t="str">
            <v>Asraful Alam</v>
          </cell>
          <cell r="E2356">
            <v>559490</v>
          </cell>
          <cell r="F2356" t="str">
            <v>Accounts And Finance</v>
          </cell>
          <cell r="G2356" t="str">
            <v>Deputy Manager</v>
          </cell>
        </row>
        <row r="2357">
          <cell r="B2357">
            <v>560598</v>
          </cell>
          <cell r="C2357" t="str">
            <v>ABEL-383</v>
          </cell>
          <cell r="D2357" t="str">
            <v>Abdullah Al Mamun</v>
          </cell>
          <cell r="E2357">
            <v>560598</v>
          </cell>
          <cell r="F2357" t="str">
            <v>Maintenance</v>
          </cell>
          <cell r="G2357" t="str">
            <v>Senior Manager</v>
          </cell>
        </row>
        <row r="2358">
          <cell r="B2358">
            <v>560885</v>
          </cell>
          <cell r="C2358" t="str">
            <v>ABIL-F-139</v>
          </cell>
          <cell r="D2358" t="str">
            <v>Md. Azizul Islam</v>
          </cell>
          <cell r="E2358">
            <v>560885</v>
          </cell>
          <cell r="F2358" t="str">
            <v>Admin</v>
          </cell>
          <cell r="G2358" t="str">
            <v>Junior Executive</v>
          </cell>
        </row>
        <row r="2359">
          <cell r="B2359">
            <v>561021</v>
          </cell>
          <cell r="C2359" t="str">
            <v>ABEL-389</v>
          </cell>
          <cell r="D2359" t="str">
            <v>Mahbobur Rahman</v>
          </cell>
          <cell r="E2359">
            <v>561021</v>
          </cell>
          <cell r="F2359" t="str">
            <v>Production</v>
          </cell>
          <cell r="G2359" t="str">
            <v>Executive</v>
          </cell>
        </row>
        <row r="2360">
          <cell r="B2360">
            <v>561112</v>
          </cell>
          <cell r="C2360" t="str">
            <v>ABEL-391</v>
          </cell>
          <cell r="D2360" t="str">
            <v xml:space="preserve">A. S. M Shahanewaz Shahariar Khan </v>
          </cell>
          <cell r="E2360">
            <v>561112</v>
          </cell>
          <cell r="F2360" t="str">
            <v>Production</v>
          </cell>
          <cell r="G2360" t="str">
            <v>Assistant General Manager</v>
          </cell>
        </row>
        <row r="2361">
          <cell r="B2361">
            <v>561287</v>
          </cell>
          <cell r="C2361" t="str">
            <v>ABEL-399</v>
          </cell>
          <cell r="D2361" t="str">
            <v>Amit Hasan Talukder</v>
          </cell>
          <cell r="E2361">
            <v>561287</v>
          </cell>
          <cell r="F2361" t="str">
            <v>HR</v>
          </cell>
          <cell r="G2361" t="str">
            <v>Executive</v>
          </cell>
        </row>
        <row r="2362">
          <cell r="B2362">
            <v>561901</v>
          </cell>
          <cell r="C2362" t="str">
            <v>ABIL-F-164</v>
          </cell>
          <cell r="D2362" t="str">
            <v>Md. Alamin Khandakar</v>
          </cell>
          <cell r="E2362">
            <v>561901</v>
          </cell>
          <cell r="F2362" t="str">
            <v>Operations</v>
          </cell>
          <cell r="G2362" t="str">
            <v>Assistant Manager</v>
          </cell>
        </row>
        <row r="2363">
          <cell r="B2363">
            <v>562665</v>
          </cell>
          <cell r="C2363" t="str">
            <v>ABIL-F-224</v>
          </cell>
          <cell r="D2363" t="str">
            <v>Md. Rasel Parvez</v>
          </cell>
          <cell r="E2363">
            <v>562665</v>
          </cell>
          <cell r="F2363" t="str">
            <v>HR</v>
          </cell>
          <cell r="G2363" t="str">
            <v>Executive</v>
          </cell>
        </row>
        <row r="2364">
          <cell r="B2364">
            <v>563507</v>
          </cell>
          <cell r="C2364" t="str">
            <v>ABIL-F-294</v>
          </cell>
          <cell r="D2364" t="str">
            <v>Md. Rezaul Karim</v>
          </cell>
          <cell r="E2364">
            <v>563507</v>
          </cell>
          <cell r="F2364" t="str">
            <v>Admin</v>
          </cell>
          <cell r="G2364" t="str">
            <v>Executive</v>
          </cell>
        </row>
        <row r="2365">
          <cell r="B2365">
            <v>563509</v>
          </cell>
          <cell r="C2365" t="str">
            <v>ABIL-F-295</v>
          </cell>
          <cell r="D2365" t="str">
            <v>Shakib Khan</v>
          </cell>
          <cell r="E2365">
            <v>563509</v>
          </cell>
          <cell r="F2365" t="str">
            <v>Planning &amp; Implementation</v>
          </cell>
          <cell r="G2365" t="str">
            <v>Executive</v>
          </cell>
        </row>
        <row r="2366">
          <cell r="B2366">
            <v>563569</v>
          </cell>
          <cell r="C2366" t="str">
            <v>ABIL(Hob)-002</v>
          </cell>
          <cell r="D2366" t="str">
            <v>Rubel Ahammad</v>
          </cell>
          <cell r="E2366">
            <v>563569</v>
          </cell>
          <cell r="F2366" t="str">
            <v>Store</v>
          </cell>
          <cell r="G2366" t="str">
            <v>Senior Executive</v>
          </cell>
        </row>
        <row r="2367">
          <cell r="B2367">
            <v>77467</v>
          </cell>
          <cell r="C2367" t="str">
            <v>FR787</v>
          </cell>
          <cell r="D2367" t="str">
            <v>Bishonath Das</v>
          </cell>
          <cell r="E2367">
            <v>77467</v>
          </cell>
          <cell r="F2367" t="str">
            <v>Workshop</v>
          </cell>
          <cell r="G2367" t="str">
            <v>Executive</v>
          </cell>
        </row>
        <row r="2368">
          <cell r="B2368">
            <v>134748</v>
          </cell>
          <cell r="C2368" t="str">
            <v>FR1267</v>
          </cell>
          <cell r="D2368" t="str">
            <v xml:space="preserve">Md. Ruhul Amin </v>
          </cell>
          <cell r="E2368">
            <v>134748</v>
          </cell>
          <cell r="F2368" t="str">
            <v>Workshop</v>
          </cell>
          <cell r="G2368" t="str">
            <v>Executive</v>
          </cell>
        </row>
        <row r="2369">
          <cell r="B2369">
            <v>170736</v>
          </cell>
          <cell r="C2369" t="str">
            <v>FR1371</v>
          </cell>
          <cell r="D2369" t="str">
            <v>Mohammad Moniruzzaman</v>
          </cell>
          <cell r="E2369">
            <v>170736</v>
          </cell>
          <cell r="F2369" t="str">
            <v>Workshop</v>
          </cell>
          <cell r="G2369" t="str">
            <v>Assistant Manager</v>
          </cell>
        </row>
        <row r="2370">
          <cell r="B2370">
            <v>241446</v>
          </cell>
          <cell r="C2370" t="str">
            <v>FR1829</v>
          </cell>
          <cell r="D2370" t="str">
            <v>Md. Abdullah</v>
          </cell>
          <cell r="E2370">
            <v>241446</v>
          </cell>
          <cell r="F2370" t="str">
            <v>Workshop</v>
          </cell>
          <cell r="G2370" t="str">
            <v>Senior Engineer</v>
          </cell>
        </row>
        <row r="2371">
          <cell r="B2371">
            <v>437486</v>
          </cell>
          <cell r="C2371" t="str">
            <v>R2178</v>
          </cell>
          <cell r="D2371" t="str">
            <v>Md. Shahadat Hosen</v>
          </cell>
          <cell r="E2371">
            <v>437486</v>
          </cell>
          <cell r="F2371" t="str">
            <v>Supply Chain</v>
          </cell>
          <cell r="G2371" t="str">
            <v>Executive</v>
          </cell>
        </row>
        <row r="2372">
          <cell r="B2372">
            <v>529697</v>
          </cell>
          <cell r="C2372" t="str">
            <v>FR4161</v>
          </cell>
          <cell r="D2372" t="str">
            <v>Md. Ahad Ali</v>
          </cell>
          <cell r="E2372">
            <v>529697</v>
          </cell>
          <cell r="F2372" t="str">
            <v>Workshop</v>
          </cell>
          <cell r="G2372" t="str">
            <v>Manager</v>
          </cell>
        </row>
        <row r="2373">
          <cell r="B2373">
            <v>531196</v>
          </cell>
          <cell r="C2373" t="str">
            <v>FR4344</v>
          </cell>
          <cell r="D2373" t="str">
            <v>Md. Masud Rana</v>
          </cell>
          <cell r="E2373">
            <v>531196</v>
          </cell>
          <cell r="F2373" t="str">
            <v>Workshop</v>
          </cell>
          <cell r="G2373" t="str">
            <v>Engineer</v>
          </cell>
        </row>
        <row r="2374">
          <cell r="B2374">
            <v>533493</v>
          </cell>
          <cell r="C2374" t="str">
            <v>AFBL-R3160</v>
          </cell>
          <cell r="D2374" t="str">
            <v>Md. Jobyer Ahammed</v>
          </cell>
          <cell r="E2374">
            <v>533493</v>
          </cell>
          <cell r="F2374" t="str">
            <v>Supply Chain</v>
          </cell>
          <cell r="G2374" t="str">
            <v>Executive</v>
          </cell>
        </row>
        <row r="2375">
          <cell r="B2375">
            <v>536154</v>
          </cell>
          <cell r="C2375" t="str">
            <v>AVL-115</v>
          </cell>
          <cell r="D2375" t="str">
            <v>Md. Saiful Arefin</v>
          </cell>
          <cell r="E2375">
            <v>536154</v>
          </cell>
          <cell r="F2375" t="str">
            <v>Regulatory Affairs</v>
          </cell>
          <cell r="G2375" t="str">
            <v>Deputy Manager</v>
          </cell>
        </row>
        <row r="2376">
          <cell r="B2376">
            <v>539112</v>
          </cell>
          <cell r="C2376" t="str">
            <v>FR5124</v>
          </cell>
          <cell r="D2376" t="str">
            <v>Md. Fayshal Ahmmed</v>
          </cell>
          <cell r="E2376">
            <v>539112</v>
          </cell>
          <cell r="F2376" t="str">
            <v>Workshop</v>
          </cell>
          <cell r="G2376" t="str">
            <v>Assistant Engineer</v>
          </cell>
        </row>
        <row r="2377">
          <cell r="B2377">
            <v>551659</v>
          </cell>
          <cell r="C2377" t="str">
            <v>ABEL-218</v>
          </cell>
          <cell r="D2377" t="str">
            <v>Mohammad Tarikuzzaman</v>
          </cell>
          <cell r="E2377">
            <v>551659</v>
          </cell>
          <cell r="F2377" t="str">
            <v>Operations</v>
          </cell>
          <cell r="G2377" t="str">
            <v>Senior Executive</v>
          </cell>
        </row>
        <row r="2378">
          <cell r="B2378">
            <v>551767</v>
          </cell>
          <cell r="C2378" t="str">
            <v>ABEL-226</v>
          </cell>
          <cell r="D2378" t="str">
            <v>Md. Akhtaruzzaman</v>
          </cell>
          <cell r="E2378">
            <v>551767</v>
          </cell>
          <cell r="F2378" t="str">
            <v>Work shop-1</v>
          </cell>
          <cell r="G2378" t="str">
            <v>Deputy Manager</v>
          </cell>
        </row>
        <row r="2379">
          <cell r="B2379">
            <v>552845</v>
          </cell>
          <cell r="C2379" t="str">
            <v>FR5860</v>
          </cell>
          <cell r="D2379" t="str">
            <v>Md. Shariful Islam</v>
          </cell>
          <cell r="E2379">
            <v>552845</v>
          </cell>
          <cell r="F2379" t="str">
            <v>Workshop</v>
          </cell>
          <cell r="G2379" t="str">
            <v>Assistant Engineer</v>
          </cell>
        </row>
        <row r="2380">
          <cell r="B2380">
            <v>553067</v>
          </cell>
          <cell r="C2380" t="str">
            <v>AREAL-005</v>
          </cell>
          <cell r="D2380" t="str">
            <v>Md. Sourav Hossain</v>
          </cell>
          <cell r="E2380">
            <v>553067</v>
          </cell>
          <cell r="F2380" t="str">
            <v>Workshop</v>
          </cell>
          <cell r="G2380" t="str">
            <v>Junior Executive</v>
          </cell>
        </row>
        <row r="2381">
          <cell r="B2381">
            <v>553077</v>
          </cell>
          <cell r="C2381" t="str">
            <v>AREAL-007</v>
          </cell>
          <cell r="D2381" t="str">
            <v xml:space="preserve">Susanta Paul </v>
          </cell>
          <cell r="E2381">
            <v>553077</v>
          </cell>
          <cell r="F2381" t="str">
            <v>Workshop</v>
          </cell>
          <cell r="G2381" t="str">
            <v>Senior Executive</v>
          </cell>
        </row>
        <row r="2382">
          <cell r="B2382">
            <v>553989</v>
          </cell>
          <cell r="C2382" t="str">
            <v>AREAL-012</v>
          </cell>
          <cell r="D2382" t="str">
            <v>Sonjoy Biswas</v>
          </cell>
          <cell r="E2382">
            <v>553989</v>
          </cell>
          <cell r="F2382" t="str">
            <v>Workshop</v>
          </cell>
          <cell r="G2382" t="str">
            <v>Assistant Engineer</v>
          </cell>
        </row>
        <row r="2383">
          <cell r="B2383">
            <v>556372</v>
          </cell>
          <cell r="C2383" t="str">
            <v>AFBL(Hob)-438</v>
          </cell>
          <cell r="D2383" t="str">
            <v>Md. Shaheduzzaman Sumon</v>
          </cell>
          <cell r="E2383">
            <v>556372</v>
          </cell>
          <cell r="F2383" t="str">
            <v>Workshop</v>
          </cell>
          <cell r="G2383" t="str">
            <v>Engineer</v>
          </cell>
        </row>
        <row r="2384">
          <cell r="B2384">
            <v>557603</v>
          </cell>
          <cell r="C2384" t="str">
            <v>AREAL-020</v>
          </cell>
          <cell r="D2384" t="str">
            <v>G M Tareq Hasan</v>
          </cell>
          <cell r="E2384">
            <v>557603</v>
          </cell>
          <cell r="F2384" t="str">
            <v>Supply Chain</v>
          </cell>
          <cell r="G2384" t="str">
            <v>Executive</v>
          </cell>
        </row>
        <row r="2385">
          <cell r="B2385">
            <v>558283</v>
          </cell>
          <cell r="C2385" t="str">
            <v>AREAL-027</v>
          </cell>
          <cell r="D2385" t="str">
            <v>Md. Talha Jubayer</v>
          </cell>
          <cell r="E2385">
            <v>558283</v>
          </cell>
          <cell r="F2385" t="str">
            <v>Workshop</v>
          </cell>
          <cell r="G2385" t="str">
            <v>Assistant Engineer</v>
          </cell>
        </row>
        <row r="2386">
          <cell r="B2386">
            <v>558955</v>
          </cell>
          <cell r="C2386" t="str">
            <v>AREAL-030</v>
          </cell>
          <cell r="D2386" t="str">
            <v>Tashfeen Ahmad</v>
          </cell>
          <cell r="E2386">
            <v>558955</v>
          </cell>
          <cell r="F2386" t="str">
            <v>Brand</v>
          </cell>
          <cell r="G2386" t="str">
            <v>Assistant Manager</v>
          </cell>
        </row>
        <row r="2387">
          <cell r="B2387">
            <v>560091</v>
          </cell>
          <cell r="C2387" t="str">
            <v>AREAL-050</v>
          </cell>
          <cell r="D2387" t="str">
            <v>Md. Rasel Hossain</v>
          </cell>
          <cell r="E2387">
            <v>560091</v>
          </cell>
          <cell r="F2387" t="str">
            <v>Workshop</v>
          </cell>
          <cell r="G2387" t="str">
            <v>Junior Executive</v>
          </cell>
        </row>
        <row r="2388">
          <cell r="B2388">
            <v>560093</v>
          </cell>
          <cell r="C2388" t="str">
            <v>AREAL-052</v>
          </cell>
          <cell r="D2388" t="str">
            <v xml:space="preserve">Md. Abdul Hannan Sarder </v>
          </cell>
          <cell r="E2388">
            <v>560093</v>
          </cell>
          <cell r="F2388" t="str">
            <v>Workshop</v>
          </cell>
          <cell r="G2388" t="str">
            <v>Executive</v>
          </cell>
        </row>
        <row r="2389">
          <cell r="B2389">
            <v>561100</v>
          </cell>
          <cell r="C2389" t="str">
            <v>AREAL-061</v>
          </cell>
          <cell r="D2389" t="str">
            <v>Md. Shamim Ahmed</v>
          </cell>
          <cell r="E2389">
            <v>561100</v>
          </cell>
          <cell r="F2389" t="str">
            <v>Workshop</v>
          </cell>
          <cell r="G2389" t="str">
            <v>Engineer</v>
          </cell>
        </row>
        <row r="2390">
          <cell r="B2390">
            <v>562632</v>
          </cell>
          <cell r="C2390" t="str">
            <v>AREAL-064</v>
          </cell>
          <cell r="D2390" t="str">
            <v>Md. Rashed Mahmud Himel</v>
          </cell>
          <cell r="E2390">
            <v>562632</v>
          </cell>
          <cell r="F2390" t="str">
            <v>Show Room</v>
          </cell>
          <cell r="G2390" t="str">
            <v>Junior Executive</v>
          </cell>
        </row>
        <row r="2391">
          <cell r="B2391">
            <v>562995</v>
          </cell>
          <cell r="C2391" t="str">
            <v>AREAL-065</v>
          </cell>
          <cell r="D2391" t="str">
            <v>Nazma Sultana</v>
          </cell>
          <cell r="E2391">
            <v>562995</v>
          </cell>
          <cell r="F2391" t="str">
            <v>Operations</v>
          </cell>
          <cell r="G2391" t="str">
            <v>Manager</v>
          </cell>
        </row>
        <row r="2392">
          <cell r="B2392">
            <v>563505</v>
          </cell>
          <cell r="C2392" t="str">
            <v>AREAL-066</v>
          </cell>
          <cell r="D2392" t="str">
            <v>Md. Rabiul Awal</v>
          </cell>
          <cell r="E2392">
            <v>563505</v>
          </cell>
          <cell r="F2392" t="str">
            <v>Accounts And Finance</v>
          </cell>
          <cell r="G2392" t="str">
            <v>Executive</v>
          </cell>
        </row>
        <row r="2393">
          <cell r="B2393">
            <v>563550</v>
          </cell>
          <cell r="C2393" t="str">
            <v>AREAL-067</v>
          </cell>
          <cell r="D2393" t="str">
            <v>Kazi Shameem Hassan</v>
          </cell>
          <cell r="E2393">
            <v>563550</v>
          </cell>
          <cell r="F2393" t="str">
            <v>Operations</v>
          </cell>
          <cell r="G2393" t="str">
            <v>Deputy General Manager</v>
          </cell>
        </row>
        <row r="2394">
          <cell r="B2394">
            <v>563578</v>
          </cell>
          <cell r="C2394" t="str">
            <v>AREAL-069</v>
          </cell>
          <cell r="D2394" t="str">
            <v>Tohidul Islam Shanto</v>
          </cell>
          <cell r="E2394">
            <v>563578</v>
          </cell>
          <cell r="F2394" t="str">
            <v>Workshop</v>
          </cell>
          <cell r="G2394" t="str">
            <v xml:space="preserve">Assistant Service Engineer </v>
          </cell>
        </row>
        <row r="2395">
          <cell r="B2395">
            <v>564040</v>
          </cell>
          <cell r="C2395" t="str">
            <v>AREAL-073</v>
          </cell>
          <cell r="D2395" t="str">
            <v xml:space="preserve">Shahadat Hossain </v>
          </cell>
          <cell r="E2395">
            <v>564040</v>
          </cell>
          <cell r="F2395" t="str">
            <v>Operations</v>
          </cell>
          <cell r="G2395" t="str">
            <v>Sr. General Manager</v>
          </cell>
        </row>
        <row r="2396">
          <cell r="B2396">
            <v>1391</v>
          </cell>
          <cell r="C2396" t="str">
            <v>R558</v>
          </cell>
          <cell r="D2396" t="str">
            <v>Deba Brata Das</v>
          </cell>
          <cell r="E2396">
            <v>1391</v>
          </cell>
          <cell r="F2396" t="str">
            <v>IT</v>
          </cell>
          <cell r="G2396" t="str">
            <v>Deputy Manager</v>
          </cell>
        </row>
        <row r="2397">
          <cell r="B2397">
            <v>241991</v>
          </cell>
          <cell r="C2397" t="str">
            <v>FR1833</v>
          </cell>
          <cell r="D2397" t="str">
            <v>Md. Ariful Islam</v>
          </cell>
          <cell r="E2397">
            <v>241991</v>
          </cell>
          <cell r="F2397" t="str">
            <v>IT</v>
          </cell>
          <cell r="G2397" t="str">
            <v>Senior Executive</v>
          </cell>
        </row>
        <row r="2398">
          <cell r="B2398">
            <v>290490</v>
          </cell>
          <cell r="C2398" t="str">
            <v>FR2057</v>
          </cell>
          <cell r="D2398" t="str">
            <v>Mohammad Abdullah Al Mamun</v>
          </cell>
          <cell r="E2398">
            <v>290490</v>
          </cell>
          <cell r="F2398" t="str">
            <v>IT</v>
          </cell>
          <cell r="G2398" t="str">
            <v>Assistant Manager</v>
          </cell>
        </row>
        <row r="2399">
          <cell r="B2399">
            <v>365737</v>
          </cell>
          <cell r="C2399" t="str">
            <v>R1863</v>
          </cell>
          <cell r="D2399" t="str">
            <v>Tanvir Rahman</v>
          </cell>
          <cell r="E2399">
            <v>365737</v>
          </cell>
          <cell r="F2399" t="str">
            <v>IT</v>
          </cell>
          <cell r="G2399" t="str">
            <v>Assistant Manager</v>
          </cell>
        </row>
        <row r="2400">
          <cell r="B2400">
            <v>515391</v>
          </cell>
          <cell r="C2400" t="str">
            <v>R2701</v>
          </cell>
          <cell r="D2400" t="str">
            <v>Monir Hossain</v>
          </cell>
          <cell r="E2400">
            <v>515391</v>
          </cell>
          <cell r="F2400" t="str">
            <v>IT</v>
          </cell>
          <cell r="G2400" t="str">
            <v>Junior Executive</v>
          </cell>
        </row>
        <row r="2401">
          <cell r="B2401">
            <v>524239</v>
          </cell>
          <cell r="C2401" t="str">
            <v>R2878</v>
          </cell>
          <cell r="D2401" t="str">
            <v>Nafeesa Alam Shuchy</v>
          </cell>
          <cell r="E2401">
            <v>524239</v>
          </cell>
          <cell r="F2401" t="str">
            <v>IT</v>
          </cell>
          <cell r="G2401" t="str">
            <v>Executive</v>
          </cell>
        </row>
        <row r="2402">
          <cell r="B2402">
            <v>525406</v>
          </cell>
          <cell r="C2402" t="str">
            <v>R2974</v>
          </cell>
          <cell r="D2402" t="str">
            <v>Muntasir Kader Anik</v>
          </cell>
          <cell r="E2402">
            <v>525406</v>
          </cell>
          <cell r="F2402" t="str">
            <v>IT</v>
          </cell>
          <cell r="G2402" t="str">
            <v>Senior Executive</v>
          </cell>
        </row>
        <row r="2403">
          <cell r="B2403">
            <v>528977</v>
          </cell>
          <cell r="C2403" t="str">
            <v>AFBL-R3065</v>
          </cell>
          <cell r="D2403" t="str">
            <v>Kanak Kumar Sanyal</v>
          </cell>
          <cell r="E2403">
            <v>528977</v>
          </cell>
          <cell r="F2403" t="str">
            <v>IT</v>
          </cell>
          <cell r="G2403" t="str">
            <v>Senior Executive</v>
          </cell>
        </row>
        <row r="2404">
          <cell r="B2404">
            <v>533137</v>
          </cell>
          <cell r="C2404" t="str">
            <v>AVL-103</v>
          </cell>
          <cell r="D2404" t="str">
            <v>Tahmid Alam</v>
          </cell>
          <cell r="E2404">
            <v>533137</v>
          </cell>
          <cell r="F2404" t="str">
            <v>IT</v>
          </cell>
          <cell r="G2404" t="str">
            <v>MD &amp; CEO</v>
          </cell>
        </row>
        <row r="2405">
          <cell r="B2405">
            <v>533831</v>
          </cell>
          <cell r="C2405" t="str">
            <v>ADL-320</v>
          </cell>
          <cell r="D2405" t="str">
            <v>Md. Abu Hurayra</v>
          </cell>
          <cell r="E2405">
            <v>533831</v>
          </cell>
          <cell r="F2405" t="str">
            <v>IT</v>
          </cell>
          <cell r="G2405" t="str">
            <v>Deputy Manager</v>
          </cell>
        </row>
        <row r="2406">
          <cell r="B2406">
            <v>534189</v>
          </cell>
          <cell r="C2406" t="str">
            <v>AFBL-R3173</v>
          </cell>
          <cell r="D2406" t="str">
            <v xml:space="preserve">Nafisa Tafshir </v>
          </cell>
          <cell r="E2406">
            <v>534189</v>
          </cell>
          <cell r="F2406" t="str">
            <v>IT</v>
          </cell>
          <cell r="G2406" t="str">
            <v>Executive</v>
          </cell>
        </row>
        <row r="2407">
          <cell r="B2407">
            <v>537231</v>
          </cell>
          <cell r="C2407" t="str">
            <v>AFBL-R3193</v>
          </cell>
          <cell r="D2407" t="str">
            <v>Gourob Saha Surjo</v>
          </cell>
          <cell r="E2407">
            <v>537231</v>
          </cell>
          <cell r="F2407" t="str">
            <v>IT</v>
          </cell>
          <cell r="G2407" t="str">
            <v>Executive</v>
          </cell>
        </row>
        <row r="2408">
          <cell r="B2408">
            <v>537232</v>
          </cell>
          <cell r="C2408" t="str">
            <v>AFBL-R3194</v>
          </cell>
          <cell r="D2408" t="str">
            <v>Shahanuzzaman</v>
          </cell>
          <cell r="E2408">
            <v>537232</v>
          </cell>
          <cell r="F2408" t="str">
            <v>IT</v>
          </cell>
          <cell r="G2408" t="str">
            <v>Executive</v>
          </cell>
        </row>
        <row r="2409">
          <cell r="B2409">
            <v>538580</v>
          </cell>
          <cell r="C2409" t="str">
            <v>AFBL-R3219</v>
          </cell>
          <cell r="D2409" t="str">
            <v>A.S.M Motashim Billah Pavel</v>
          </cell>
          <cell r="E2409">
            <v>538580</v>
          </cell>
          <cell r="F2409" t="str">
            <v>IT</v>
          </cell>
          <cell r="G2409" t="str">
            <v>Executive</v>
          </cell>
        </row>
        <row r="2410">
          <cell r="B2410">
            <v>538582</v>
          </cell>
          <cell r="C2410" t="str">
            <v>AFBL-R3221</v>
          </cell>
          <cell r="D2410" t="str">
            <v>Salma Mojumder</v>
          </cell>
          <cell r="E2410">
            <v>538582</v>
          </cell>
          <cell r="F2410" t="str">
            <v>IT</v>
          </cell>
          <cell r="G2410" t="str">
            <v>Executive</v>
          </cell>
        </row>
        <row r="2411">
          <cell r="B2411">
            <v>538746</v>
          </cell>
          <cell r="C2411" t="str">
            <v>AFBL-R3226</v>
          </cell>
          <cell r="D2411" t="str">
            <v>Md. Kamal Haque Kanon</v>
          </cell>
          <cell r="E2411">
            <v>538746</v>
          </cell>
          <cell r="F2411" t="str">
            <v>IT</v>
          </cell>
          <cell r="G2411" t="str">
            <v>Junior Executive</v>
          </cell>
        </row>
        <row r="2412">
          <cell r="B2412">
            <v>539827</v>
          </cell>
          <cell r="C2412" t="str">
            <v>AFBL-R3242</v>
          </cell>
          <cell r="D2412" t="str">
            <v>Md. Rakibul Islam</v>
          </cell>
          <cell r="E2412">
            <v>539827</v>
          </cell>
          <cell r="F2412" t="str">
            <v>IT</v>
          </cell>
          <cell r="G2412" t="str">
            <v>Assistant Manager</v>
          </cell>
        </row>
        <row r="2413">
          <cell r="B2413">
            <v>540668</v>
          </cell>
          <cell r="C2413" t="str">
            <v>AFBL-R3285</v>
          </cell>
          <cell r="D2413" t="str">
            <v>M. Alif Ur Rahman</v>
          </cell>
          <cell r="E2413">
            <v>540668</v>
          </cell>
          <cell r="F2413" t="str">
            <v>IT</v>
          </cell>
          <cell r="G2413" t="str">
            <v>Executive</v>
          </cell>
        </row>
        <row r="2414">
          <cell r="B2414">
            <v>540692</v>
          </cell>
          <cell r="C2414" t="str">
            <v>AFBL-R3287</v>
          </cell>
          <cell r="D2414" t="str">
            <v>Nafisa Anjum</v>
          </cell>
          <cell r="E2414">
            <v>540692</v>
          </cell>
          <cell r="F2414" t="str">
            <v>IT</v>
          </cell>
          <cell r="G2414" t="str">
            <v>Executive</v>
          </cell>
        </row>
        <row r="2415">
          <cell r="B2415">
            <v>542362</v>
          </cell>
          <cell r="C2415" t="str">
            <v>AFBL-R3332</v>
          </cell>
          <cell r="D2415" t="str">
            <v>Arup Raton Chowdhury</v>
          </cell>
          <cell r="E2415">
            <v>542362</v>
          </cell>
          <cell r="F2415" t="str">
            <v>IT</v>
          </cell>
          <cell r="G2415" t="str">
            <v>Junior Executive</v>
          </cell>
        </row>
        <row r="2416">
          <cell r="B2416">
            <v>542363</v>
          </cell>
          <cell r="C2416" t="str">
            <v>AFBL-R3333</v>
          </cell>
          <cell r="D2416" t="str">
            <v>Tushar Ahmmed</v>
          </cell>
          <cell r="E2416">
            <v>542363</v>
          </cell>
          <cell r="F2416" t="str">
            <v>IT</v>
          </cell>
          <cell r="G2416" t="str">
            <v>Junior Executive</v>
          </cell>
        </row>
        <row r="2417">
          <cell r="B2417">
            <v>543495</v>
          </cell>
          <cell r="C2417" t="str">
            <v>AFBL-R3348</v>
          </cell>
          <cell r="D2417" t="str">
            <v>Md. Junaed Abed</v>
          </cell>
          <cell r="E2417">
            <v>543495</v>
          </cell>
          <cell r="F2417" t="str">
            <v>IT</v>
          </cell>
          <cell r="G2417" t="str">
            <v>Senior Executive</v>
          </cell>
        </row>
        <row r="2418">
          <cell r="B2418">
            <v>543914</v>
          </cell>
          <cell r="C2418" t="str">
            <v>AFBL-R3357</v>
          </cell>
          <cell r="D2418" t="str">
            <v>S M Tanvir Hasan Faysal</v>
          </cell>
          <cell r="E2418">
            <v>543914</v>
          </cell>
          <cell r="F2418" t="str">
            <v>IT</v>
          </cell>
          <cell r="G2418" t="str">
            <v>Executive</v>
          </cell>
        </row>
        <row r="2419">
          <cell r="B2419">
            <v>548121</v>
          </cell>
          <cell r="C2419" t="str">
            <v>AFBL-R3374</v>
          </cell>
          <cell r="D2419" t="str">
            <v>Sharif Mohammed Shihab</v>
          </cell>
          <cell r="E2419">
            <v>548121</v>
          </cell>
          <cell r="F2419" t="str">
            <v>HR</v>
          </cell>
          <cell r="G2419" t="str">
            <v>Executive</v>
          </cell>
        </row>
        <row r="2420">
          <cell r="B2420">
            <v>548122</v>
          </cell>
          <cell r="C2420" t="str">
            <v>AFBL-R3375</v>
          </cell>
          <cell r="D2420" t="str">
            <v>Fariha Ajnum Bushra</v>
          </cell>
          <cell r="E2420">
            <v>548122</v>
          </cell>
          <cell r="F2420" t="str">
            <v>IT</v>
          </cell>
          <cell r="G2420" t="str">
            <v>Executive</v>
          </cell>
        </row>
        <row r="2421">
          <cell r="B2421">
            <v>548123</v>
          </cell>
          <cell r="C2421" t="str">
            <v>AFBL-R3376</v>
          </cell>
          <cell r="D2421" t="str">
            <v>Antara Raida Anika</v>
          </cell>
          <cell r="E2421">
            <v>548123</v>
          </cell>
          <cell r="F2421" t="str">
            <v>IT</v>
          </cell>
          <cell r="G2421" t="str">
            <v>Executive</v>
          </cell>
        </row>
        <row r="2422">
          <cell r="B2422">
            <v>548124</v>
          </cell>
          <cell r="C2422" t="str">
            <v>AFBL-R3377</v>
          </cell>
          <cell r="D2422" t="str">
            <v>Sudipta Adhikary Joy</v>
          </cell>
          <cell r="E2422">
            <v>548124</v>
          </cell>
          <cell r="F2422" t="str">
            <v>IT</v>
          </cell>
          <cell r="G2422" t="str">
            <v>Executive</v>
          </cell>
        </row>
        <row r="2423">
          <cell r="B2423">
            <v>548125</v>
          </cell>
          <cell r="C2423" t="str">
            <v>AFBL-R3373</v>
          </cell>
          <cell r="D2423" t="str">
            <v>Md. Saddam Hossain</v>
          </cell>
          <cell r="E2423">
            <v>548125</v>
          </cell>
          <cell r="F2423" t="str">
            <v>IT</v>
          </cell>
          <cell r="G2423" t="str">
            <v>Executive</v>
          </cell>
        </row>
        <row r="2424">
          <cell r="B2424">
            <v>548517</v>
          </cell>
          <cell r="C2424" t="str">
            <v>AFBL-R3380</v>
          </cell>
          <cell r="D2424" t="str">
            <v>Md. Rezwan Tahmi</v>
          </cell>
          <cell r="E2424">
            <v>548517</v>
          </cell>
          <cell r="F2424" t="str">
            <v>IT</v>
          </cell>
          <cell r="G2424" t="str">
            <v>Senior Executive</v>
          </cell>
        </row>
        <row r="2425">
          <cell r="B2425">
            <v>549445</v>
          </cell>
          <cell r="C2425" t="str">
            <v>NL-02</v>
          </cell>
          <cell r="D2425" t="str">
            <v>Gazi Salah Uddin</v>
          </cell>
          <cell r="E2425">
            <v>549445</v>
          </cell>
          <cell r="F2425" t="str">
            <v>IT</v>
          </cell>
          <cell r="G2425" t="str">
            <v>Executive</v>
          </cell>
        </row>
        <row r="2426">
          <cell r="B2426">
            <v>549964</v>
          </cell>
          <cell r="C2426" t="str">
            <v>NL-03</v>
          </cell>
          <cell r="D2426" t="str">
            <v>Md. Shahidullah Rakib</v>
          </cell>
          <cell r="E2426">
            <v>549964</v>
          </cell>
          <cell r="F2426" t="str">
            <v>IT</v>
          </cell>
          <cell r="G2426" t="str">
            <v>Executive</v>
          </cell>
        </row>
        <row r="2427">
          <cell r="B2427">
            <v>550332</v>
          </cell>
          <cell r="C2427" t="str">
            <v>NL-04</v>
          </cell>
          <cell r="D2427" t="str">
            <v>Zannatul Ferdous Misty</v>
          </cell>
          <cell r="E2427">
            <v>550332</v>
          </cell>
          <cell r="F2427" t="str">
            <v>IT</v>
          </cell>
          <cell r="G2427" t="str">
            <v>Executive</v>
          </cell>
        </row>
        <row r="2428">
          <cell r="B2428">
            <v>550512</v>
          </cell>
          <cell r="C2428" t="str">
            <v>NL-05</v>
          </cell>
          <cell r="D2428" t="str">
            <v>Mohammed Aftahi Islam</v>
          </cell>
          <cell r="E2428">
            <v>550512</v>
          </cell>
          <cell r="F2428" t="str">
            <v>IT</v>
          </cell>
          <cell r="G2428" t="str">
            <v>Executive</v>
          </cell>
        </row>
        <row r="2429">
          <cell r="B2429">
            <v>551404</v>
          </cell>
          <cell r="C2429" t="str">
            <v>NL-06</v>
          </cell>
          <cell r="D2429" t="str">
            <v>Md. Rakibul Hasan</v>
          </cell>
          <cell r="E2429">
            <v>551404</v>
          </cell>
          <cell r="F2429" t="str">
            <v>IT</v>
          </cell>
          <cell r="G2429" t="str">
            <v>Senior Executive</v>
          </cell>
        </row>
        <row r="2430">
          <cell r="B2430">
            <v>551658</v>
          </cell>
          <cell r="C2430" t="str">
            <v>NL-07</v>
          </cell>
          <cell r="D2430" t="str">
            <v>Nowshin Chowdhury</v>
          </cell>
          <cell r="E2430">
            <v>551658</v>
          </cell>
          <cell r="F2430" t="str">
            <v>IT</v>
          </cell>
          <cell r="G2430" t="str">
            <v>Executive</v>
          </cell>
        </row>
        <row r="2431">
          <cell r="B2431">
            <v>552044</v>
          </cell>
          <cell r="C2431" t="str">
            <v>NL-09</v>
          </cell>
          <cell r="D2431" t="str">
            <v>Sadia Sharmin Badhan</v>
          </cell>
          <cell r="E2431">
            <v>552044</v>
          </cell>
          <cell r="F2431" t="str">
            <v>Brand</v>
          </cell>
          <cell r="G2431" t="str">
            <v>Executive</v>
          </cell>
        </row>
        <row r="2432">
          <cell r="B2432">
            <v>552399</v>
          </cell>
          <cell r="C2432" t="str">
            <v>NL-10</v>
          </cell>
          <cell r="D2432" t="str">
            <v>Yasin Mia Palash</v>
          </cell>
          <cell r="E2432">
            <v>552399</v>
          </cell>
          <cell r="F2432" t="str">
            <v>IT</v>
          </cell>
          <cell r="G2432" t="str">
            <v>Executive</v>
          </cell>
        </row>
        <row r="2433">
          <cell r="B2433">
            <v>552432</v>
          </cell>
          <cell r="C2433" t="str">
            <v>NL-12</v>
          </cell>
          <cell r="D2433" t="str">
            <v>Samier Uddin Ahammad Shovo</v>
          </cell>
          <cell r="E2433">
            <v>552432</v>
          </cell>
          <cell r="F2433" t="str">
            <v>IT</v>
          </cell>
          <cell r="G2433" t="str">
            <v>Executive</v>
          </cell>
        </row>
        <row r="2434">
          <cell r="B2434">
            <v>553702</v>
          </cell>
          <cell r="C2434" t="str">
            <v>NL-13</v>
          </cell>
          <cell r="D2434" t="str">
            <v>Md. Jahidul Islam</v>
          </cell>
          <cell r="E2434">
            <v>553702</v>
          </cell>
          <cell r="F2434" t="str">
            <v>IT</v>
          </cell>
          <cell r="G2434" t="str">
            <v>Executive</v>
          </cell>
        </row>
        <row r="2435">
          <cell r="B2435">
            <v>553834</v>
          </cell>
          <cell r="C2435" t="str">
            <v>NL-14</v>
          </cell>
          <cell r="D2435" t="str">
            <v>Yousuf Hassan</v>
          </cell>
          <cell r="E2435">
            <v>553834</v>
          </cell>
          <cell r="F2435" t="str">
            <v>IT</v>
          </cell>
          <cell r="G2435" t="str">
            <v>Executive</v>
          </cell>
        </row>
        <row r="2436">
          <cell r="B2436">
            <v>553835</v>
          </cell>
          <cell r="C2436" t="str">
            <v>NL-15</v>
          </cell>
          <cell r="D2436" t="str">
            <v>Rafid Redwan Khan</v>
          </cell>
          <cell r="E2436">
            <v>553835</v>
          </cell>
          <cell r="F2436" t="str">
            <v>IT</v>
          </cell>
          <cell r="G2436" t="str">
            <v>Executive</v>
          </cell>
        </row>
        <row r="2437">
          <cell r="B2437">
            <v>553836</v>
          </cell>
          <cell r="C2437" t="str">
            <v>NL-17</v>
          </cell>
          <cell r="D2437" t="str">
            <v>Rokibul Hassan</v>
          </cell>
          <cell r="E2437">
            <v>553836</v>
          </cell>
          <cell r="F2437" t="str">
            <v>IT</v>
          </cell>
          <cell r="G2437" t="str">
            <v>Junior Executive</v>
          </cell>
        </row>
        <row r="2438">
          <cell r="B2438">
            <v>553837</v>
          </cell>
          <cell r="C2438" t="str">
            <v>NL-16</v>
          </cell>
          <cell r="D2438" t="str">
            <v>Meherin Hossain Nushra</v>
          </cell>
          <cell r="E2438">
            <v>553837</v>
          </cell>
          <cell r="F2438" t="str">
            <v>IT</v>
          </cell>
          <cell r="G2438" t="str">
            <v>Executive</v>
          </cell>
        </row>
        <row r="2439">
          <cell r="B2439">
            <v>553992</v>
          </cell>
          <cell r="C2439" t="str">
            <v>NL-18</v>
          </cell>
          <cell r="D2439" t="str">
            <v>Md. Zayed Islam</v>
          </cell>
          <cell r="E2439">
            <v>553992</v>
          </cell>
          <cell r="F2439" t="str">
            <v>IT</v>
          </cell>
          <cell r="G2439" t="str">
            <v>Executive</v>
          </cell>
        </row>
        <row r="2440">
          <cell r="B2440">
            <v>553993</v>
          </cell>
          <cell r="C2440" t="str">
            <v>NL-19</v>
          </cell>
          <cell r="D2440" t="str">
            <v>Nishat Sultana Ritu</v>
          </cell>
          <cell r="E2440">
            <v>553993</v>
          </cell>
          <cell r="F2440" t="str">
            <v>IT</v>
          </cell>
          <cell r="G2440" t="str">
            <v>Executive</v>
          </cell>
        </row>
        <row r="2441">
          <cell r="B2441">
            <v>554608</v>
          </cell>
          <cell r="C2441" t="str">
            <v>NL-20</v>
          </cell>
          <cell r="D2441" t="str">
            <v>Md. Jabed Hossen</v>
          </cell>
          <cell r="E2441">
            <v>554608</v>
          </cell>
          <cell r="F2441" t="str">
            <v>IT</v>
          </cell>
          <cell r="G2441" t="str">
            <v>Executive</v>
          </cell>
        </row>
        <row r="2442">
          <cell r="B2442">
            <v>554761</v>
          </cell>
          <cell r="C2442" t="str">
            <v>NL-21</v>
          </cell>
          <cell r="D2442" t="str">
            <v>Md. Sajed</v>
          </cell>
          <cell r="E2442">
            <v>554761</v>
          </cell>
          <cell r="F2442" t="str">
            <v>IT</v>
          </cell>
          <cell r="G2442" t="str">
            <v>Executive</v>
          </cell>
        </row>
        <row r="2443">
          <cell r="B2443">
            <v>555562</v>
          </cell>
          <cell r="C2443" t="str">
            <v>NL-22</v>
          </cell>
          <cell r="D2443" t="str">
            <v>Md. Mamun Juarder</v>
          </cell>
          <cell r="E2443">
            <v>555562</v>
          </cell>
          <cell r="F2443" t="str">
            <v>IT</v>
          </cell>
          <cell r="G2443" t="str">
            <v>Assistant Manager</v>
          </cell>
        </row>
        <row r="2444">
          <cell r="B2444">
            <v>556510</v>
          </cell>
          <cell r="C2444" t="str">
            <v>NL-24</v>
          </cell>
          <cell r="D2444" t="str">
            <v>Md. Iftehaj Annan</v>
          </cell>
          <cell r="E2444">
            <v>556510</v>
          </cell>
          <cell r="F2444" t="str">
            <v>IT</v>
          </cell>
          <cell r="G2444" t="str">
            <v>Executive</v>
          </cell>
        </row>
        <row r="2445">
          <cell r="B2445">
            <v>556511</v>
          </cell>
          <cell r="C2445" t="str">
            <v>NL-25</v>
          </cell>
          <cell r="D2445" t="str">
            <v>Md Safayet Hossain</v>
          </cell>
          <cell r="E2445">
            <v>556511</v>
          </cell>
          <cell r="F2445" t="str">
            <v>IT</v>
          </cell>
          <cell r="G2445" t="str">
            <v>Senior Executive</v>
          </cell>
        </row>
        <row r="2446">
          <cell r="B2446">
            <v>556512</v>
          </cell>
          <cell r="C2446" t="str">
            <v>AFBL-R3471</v>
          </cell>
          <cell r="D2446" t="str">
            <v>Ishrat Jahan Epsi</v>
          </cell>
          <cell r="E2446">
            <v>556512</v>
          </cell>
          <cell r="F2446" t="str">
            <v>IT</v>
          </cell>
          <cell r="G2446" t="str">
            <v>Executive</v>
          </cell>
        </row>
        <row r="2447">
          <cell r="B2447">
            <v>556894</v>
          </cell>
          <cell r="C2447" t="str">
            <v>NL-26</v>
          </cell>
          <cell r="D2447" t="str">
            <v>Arshad Uddin Afnan</v>
          </cell>
          <cell r="E2447">
            <v>556894</v>
          </cell>
          <cell r="F2447" t="str">
            <v>IT</v>
          </cell>
          <cell r="G2447" t="str">
            <v>Executive</v>
          </cell>
        </row>
        <row r="2448">
          <cell r="B2448">
            <v>557581</v>
          </cell>
          <cell r="C2448" t="str">
            <v>NL-27</v>
          </cell>
          <cell r="D2448" t="str">
            <v>Alinda Barua</v>
          </cell>
          <cell r="E2448">
            <v>557581</v>
          </cell>
          <cell r="F2448" t="str">
            <v>IT</v>
          </cell>
          <cell r="G2448" t="str">
            <v>Junior Executive</v>
          </cell>
        </row>
        <row r="2449">
          <cell r="B2449">
            <v>557582</v>
          </cell>
          <cell r="C2449" t="str">
            <v>NL-28</v>
          </cell>
          <cell r="D2449" t="str">
            <v>Md. Mainul Hasan Khan</v>
          </cell>
          <cell r="E2449">
            <v>557582</v>
          </cell>
          <cell r="F2449" t="str">
            <v>IT</v>
          </cell>
          <cell r="G2449" t="str">
            <v>Executive</v>
          </cell>
        </row>
        <row r="2450">
          <cell r="B2450">
            <v>557876</v>
          </cell>
          <cell r="C2450" t="str">
            <v>NL-29</v>
          </cell>
          <cell r="D2450" t="str">
            <v>Shahi Shohanur Hamid</v>
          </cell>
          <cell r="E2450">
            <v>557876</v>
          </cell>
          <cell r="F2450" t="str">
            <v>IT</v>
          </cell>
          <cell r="G2450" t="str">
            <v>Assistant Manager</v>
          </cell>
        </row>
        <row r="2451">
          <cell r="B2451">
            <v>557888</v>
          </cell>
          <cell r="C2451" t="str">
            <v>NL-30</v>
          </cell>
          <cell r="D2451" t="str">
            <v>Mahasin Miah</v>
          </cell>
          <cell r="E2451">
            <v>557888</v>
          </cell>
          <cell r="F2451" t="str">
            <v>IT</v>
          </cell>
          <cell r="G2451" t="str">
            <v>Senior Manager</v>
          </cell>
        </row>
        <row r="2452">
          <cell r="B2452">
            <v>558281</v>
          </cell>
          <cell r="C2452" t="str">
            <v>NL-31</v>
          </cell>
          <cell r="D2452" t="str">
            <v>Md. Sarwar  Hossain</v>
          </cell>
          <cell r="E2452">
            <v>558281</v>
          </cell>
          <cell r="F2452" t="str">
            <v>IT</v>
          </cell>
          <cell r="G2452" t="str">
            <v>Assistant Manager</v>
          </cell>
        </row>
        <row r="2453">
          <cell r="B2453">
            <v>559717</v>
          </cell>
          <cell r="C2453" t="str">
            <v>NL-36</v>
          </cell>
          <cell r="D2453" t="str">
            <v>Jasem Uddin</v>
          </cell>
          <cell r="E2453">
            <v>559717</v>
          </cell>
          <cell r="F2453" t="str">
            <v>IT</v>
          </cell>
          <cell r="G2453" t="str">
            <v>Executive</v>
          </cell>
        </row>
        <row r="2454">
          <cell r="B2454">
            <v>559990</v>
          </cell>
          <cell r="C2454" t="str">
            <v>NL-37</v>
          </cell>
          <cell r="D2454" t="str">
            <v>Md. Hanif Rony</v>
          </cell>
          <cell r="E2454">
            <v>559990</v>
          </cell>
          <cell r="F2454" t="str">
            <v>IT</v>
          </cell>
          <cell r="G2454" t="str">
            <v>Executive</v>
          </cell>
        </row>
        <row r="2455">
          <cell r="B2455">
            <v>561834</v>
          </cell>
          <cell r="C2455" t="str">
            <v>NL-41</v>
          </cell>
          <cell r="D2455" t="str">
            <v xml:space="preserve">Arafat Chowdhury </v>
          </cell>
          <cell r="E2455">
            <v>561834</v>
          </cell>
          <cell r="F2455" t="str">
            <v>IT</v>
          </cell>
          <cell r="G2455" t="str">
            <v>Executive</v>
          </cell>
        </row>
        <row r="2456">
          <cell r="B2456">
            <v>561835</v>
          </cell>
          <cell r="C2456" t="str">
            <v>NL-42</v>
          </cell>
          <cell r="D2456" t="str">
            <v>Mehatub Uddin</v>
          </cell>
          <cell r="E2456">
            <v>561835</v>
          </cell>
          <cell r="F2456" t="str">
            <v>IT</v>
          </cell>
          <cell r="G2456" t="str">
            <v>Executive</v>
          </cell>
        </row>
        <row r="2457">
          <cell r="B2457">
            <v>561836</v>
          </cell>
          <cell r="C2457" t="str">
            <v>NL-43</v>
          </cell>
          <cell r="D2457" t="str">
            <v>Md. Ikhtiar Alam</v>
          </cell>
          <cell r="E2457">
            <v>561836</v>
          </cell>
          <cell r="F2457" t="str">
            <v>IT</v>
          </cell>
          <cell r="G2457" t="str">
            <v>Senior Executive</v>
          </cell>
        </row>
        <row r="2458">
          <cell r="B2458">
            <v>561837</v>
          </cell>
          <cell r="C2458" t="str">
            <v>Intern-236</v>
          </cell>
          <cell r="D2458" t="str">
            <v>Emon Ahmed</v>
          </cell>
          <cell r="E2458">
            <v>561837</v>
          </cell>
          <cell r="F2458" t="str">
            <v>IT</v>
          </cell>
          <cell r="G2458" t="str">
            <v>Intern</v>
          </cell>
        </row>
        <row r="2459">
          <cell r="B2459">
            <v>561871</v>
          </cell>
          <cell r="C2459" t="str">
            <v>NL-38</v>
          </cell>
          <cell r="D2459" t="str">
            <v>Md. Fahim Shakil Chowdhury</v>
          </cell>
          <cell r="E2459">
            <v>561871</v>
          </cell>
          <cell r="F2459" t="str">
            <v>IT</v>
          </cell>
          <cell r="G2459" t="str">
            <v>Junior Executive</v>
          </cell>
        </row>
        <row r="2460">
          <cell r="B2460">
            <v>561872</v>
          </cell>
          <cell r="C2460" t="str">
            <v>NL-39</v>
          </cell>
          <cell r="D2460" t="str">
            <v>Md. Masud</v>
          </cell>
          <cell r="E2460">
            <v>561872</v>
          </cell>
          <cell r="F2460" t="str">
            <v>IT</v>
          </cell>
          <cell r="G2460" t="str">
            <v>Junior Executive</v>
          </cell>
        </row>
        <row r="2461">
          <cell r="B2461">
            <v>561873</v>
          </cell>
          <cell r="C2461" t="str">
            <v>NL-40</v>
          </cell>
          <cell r="D2461" t="str">
            <v>Md. Sanwar Hossain</v>
          </cell>
          <cell r="E2461">
            <v>561873</v>
          </cell>
          <cell r="F2461" t="str">
            <v>IT</v>
          </cell>
          <cell r="G2461" t="str">
            <v>Junior Executive</v>
          </cell>
        </row>
        <row r="2462">
          <cell r="B2462">
            <v>562727</v>
          </cell>
          <cell r="C2462" t="str">
            <v>NL-44</v>
          </cell>
          <cell r="D2462" t="str">
            <v>Md. Mahmudul Hasan Maruf</v>
          </cell>
          <cell r="E2462">
            <v>562727</v>
          </cell>
          <cell r="F2462" t="str">
            <v>IT</v>
          </cell>
          <cell r="G2462" t="str">
            <v>Assistant Manager</v>
          </cell>
        </row>
        <row r="2463">
          <cell r="B2463">
            <v>562777</v>
          </cell>
          <cell r="C2463" t="str">
            <v>NL-45</v>
          </cell>
          <cell r="D2463" t="str">
            <v xml:space="preserve">Taseen Alam Dehan </v>
          </cell>
          <cell r="E2463">
            <v>562777</v>
          </cell>
          <cell r="F2463" t="str">
            <v>IT</v>
          </cell>
          <cell r="G2463" t="str">
            <v>Executive</v>
          </cell>
        </row>
        <row r="2464">
          <cell r="B2464">
            <v>562916</v>
          </cell>
          <cell r="C2464" t="str">
            <v>NL-47</v>
          </cell>
          <cell r="D2464" t="str">
            <v>Md. Osman Gani Emon</v>
          </cell>
          <cell r="E2464">
            <v>562916</v>
          </cell>
          <cell r="F2464" t="str">
            <v>IT</v>
          </cell>
          <cell r="G2464" t="str">
            <v>Junior Executive</v>
          </cell>
        </row>
        <row r="2465">
          <cell r="B2465">
            <v>562922</v>
          </cell>
          <cell r="C2465" t="str">
            <v>NL-46</v>
          </cell>
          <cell r="D2465" t="str">
            <v>Farah Farjana</v>
          </cell>
          <cell r="E2465">
            <v>562922</v>
          </cell>
          <cell r="F2465" t="str">
            <v>IT</v>
          </cell>
          <cell r="G2465" t="str">
            <v>Junior Executive</v>
          </cell>
        </row>
        <row r="2466">
          <cell r="B2466">
            <v>562926</v>
          </cell>
          <cell r="C2466" t="str">
            <v>NL-48</v>
          </cell>
          <cell r="D2466" t="str">
            <v>Md. Tansocelar Ahamed Dorjoy</v>
          </cell>
          <cell r="E2466">
            <v>562926</v>
          </cell>
          <cell r="F2466" t="str">
            <v>IT</v>
          </cell>
          <cell r="G2466" t="str">
            <v>Junior Executive</v>
          </cell>
        </row>
        <row r="2467">
          <cell r="B2467">
            <v>563273</v>
          </cell>
          <cell r="C2467" t="str">
            <v>INTERN-245</v>
          </cell>
          <cell r="D2467" t="str">
            <v>Shamaratun Jannat Meme</v>
          </cell>
          <cell r="E2467">
            <v>563273</v>
          </cell>
          <cell r="F2467" t="str">
            <v>IT</v>
          </cell>
          <cell r="G2467" t="str">
            <v>Intern</v>
          </cell>
        </row>
        <row r="2468">
          <cell r="B2468">
            <v>563459</v>
          </cell>
          <cell r="C2468" t="str">
            <v>Intern-246</v>
          </cell>
          <cell r="D2468" t="str">
            <v>Abdullah AL Amin</v>
          </cell>
          <cell r="E2468">
            <v>563459</v>
          </cell>
          <cell r="F2468" t="str">
            <v>IT</v>
          </cell>
          <cell r="G2468" t="str">
            <v>Intern</v>
          </cell>
        </row>
        <row r="2469">
          <cell r="B2469">
            <v>563461</v>
          </cell>
          <cell r="C2469" t="str">
            <v>Intern-247</v>
          </cell>
          <cell r="D2469" t="str">
            <v>Md. Bayjid Khan</v>
          </cell>
          <cell r="E2469">
            <v>563461</v>
          </cell>
          <cell r="F2469" t="str">
            <v>IT</v>
          </cell>
          <cell r="G2469" t="str">
            <v>Intern</v>
          </cell>
        </row>
        <row r="2470">
          <cell r="B2470">
            <v>563463</v>
          </cell>
          <cell r="C2470" t="str">
            <v>NL-51</v>
          </cell>
          <cell r="D2470" t="str">
            <v>Md. Tarikul Islam Juel</v>
          </cell>
          <cell r="E2470">
            <v>563463</v>
          </cell>
          <cell r="F2470" t="str">
            <v>IT</v>
          </cell>
          <cell r="G2470" t="str">
            <v>Assistant Manager</v>
          </cell>
        </row>
        <row r="2471">
          <cell r="B2471">
            <v>563561</v>
          </cell>
          <cell r="C2471" t="str">
            <v>INTERN-248</v>
          </cell>
          <cell r="D2471" t="str">
            <v>Abdullah Al Mamun</v>
          </cell>
          <cell r="E2471">
            <v>563561</v>
          </cell>
          <cell r="F2471" t="str">
            <v>IT</v>
          </cell>
          <cell r="G2471" t="str">
            <v>Intern</v>
          </cell>
        </row>
        <row r="2472">
          <cell r="B2472">
            <v>563563</v>
          </cell>
          <cell r="C2472" t="str">
            <v>INTERN-249</v>
          </cell>
          <cell r="D2472" t="str">
            <v>Md. Abdulla Anaf Hemel</v>
          </cell>
          <cell r="E2472">
            <v>563563</v>
          </cell>
          <cell r="F2472" t="str">
            <v>IT</v>
          </cell>
          <cell r="G2472" t="str">
            <v>Intern</v>
          </cell>
        </row>
        <row r="2473">
          <cell r="B2473">
            <v>563564</v>
          </cell>
          <cell r="C2473" t="str">
            <v>INTERN-250</v>
          </cell>
          <cell r="D2473" t="str">
            <v>Md. Rabiul Akand</v>
          </cell>
          <cell r="E2473">
            <v>563564</v>
          </cell>
          <cell r="F2473" t="str">
            <v>IT</v>
          </cell>
          <cell r="G2473" t="str">
            <v>Intern</v>
          </cell>
        </row>
        <row r="2474">
          <cell r="B2474">
            <v>563565</v>
          </cell>
          <cell r="C2474" t="str">
            <v>NL-52</v>
          </cell>
          <cell r="D2474" t="str">
            <v>Awolad Hossain</v>
          </cell>
          <cell r="E2474">
            <v>563565</v>
          </cell>
          <cell r="F2474" t="str">
            <v>IT</v>
          </cell>
          <cell r="G2474" t="str">
            <v>Executive</v>
          </cell>
        </row>
      </sheetData>
    </sheetDataSet>
  </externalBook>
</externalLink>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A6181FD5-F61C-4305-9184-C6C9CD46E9E3}" sourceName="Designation Status">
  <extLst>
    <x:ext xmlns:x15="http://schemas.microsoft.com/office/spreadsheetml/2010/11/main" uri="{2F2917AC-EB37-4324-AD4E-5DD8C200BD13}">
      <x15:tableSlicerCache tableId="1" column="15"/>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_Head_Status" xr10:uid="{089DE605-D9DB-44D6-9CE1-94325FABCFFB}" sourceName="Department &amp; Section Head Status">
  <extLst>
    <x:ext xmlns:x15="http://schemas.microsoft.com/office/spreadsheetml/2010/11/main" uri="{2F2917AC-EB37-4324-AD4E-5DD8C200BD13}">
      <x15:tableSlicerCache tableId="1" column="16"/>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us" xr10:uid="{6B44228F-BA23-4379-A647-A1F47D58F118}" cache="Slicer_Status" caption="Designation Status" style="SlicerStyleDark2" rowHeight="241300"/>
  <slicer name="Department Head Status" xr10:uid="{81658367-8A68-439D-98F6-DE53BB4CF2A4}" cache="Slicer_Department_Head_Status" caption="Department &amp; Section Head Status" style="SlicerStyleDark6"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B8CC483-942F-4B51-A4B4-99840776CE05}" name="Table1" displayName="Table1" ref="A3:S650" totalsRowShown="0" headerRowDxfId="22" dataDxfId="21" headerRowBorderDxfId="19" tableBorderDxfId="20">
  <autoFilter ref="A3:S650" xr:uid="{7B8CC483-942F-4B51-A4B4-99840776CE05}"/>
  <sortState xmlns:xlrd2="http://schemas.microsoft.com/office/spreadsheetml/2017/richdata2" ref="A4:S650">
    <sortCondition ref="E3:E650"/>
  </sortState>
  <tableColumns count="19">
    <tableColumn id="1" xr3:uid="{D6CF12F1-D9BC-44C5-9DD7-E386605AD8D2}" name="SL" dataDxfId="18">
      <calculatedColumnFormula>SUBTOTAL(103,$B$4:B4)</calculatedColumnFormula>
    </tableColumn>
    <tableColumn id="2" xr3:uid="{8C9AED57-6EA0-4E29-AE63-395D1026C98D}" name="Enroll" dataDxfId="17"/>
    <tableColumn id="3" xr3:uid="{9D8D037A-8743-45ED-B200-A2DAA7526287}" name="Name" dataDxfId="16"/>
    <tableColumn id="17" xr3:uid="{0CCB9049-C1DA-49E1-BA39-957AE60E5380}" name="Designation" dataDxfId="15"/>
    <tableColumn id="8" xr3:uid="{2C7631A2-DBD4-4D7A-93BB-263DE44F8656}" name="Department" dataDxfId="14"/>
    <tableColumn id="4" xr3:uid="{E6336E66-8E66-4FC6-B892-90301A0CF2B1}" name="Date of Joining" dataDxfId="13"/>
    <tableColumn id="6" xr3:uid="{410D340D-087B-4FE6-A674-4E7364B52D24}" name="Job Station" dataDxfId="12"/>
    <tableColumn id="5" xr3:uid="{FB6BA126-47FE-4494-92A1-43C87D389D7E}" name="Job Tenure" dataDxfId="11">
      <calculatedColumnFormula>DATEDIF(F4,TODAY(),"Y") &amp; " Years, " &amp; DATEDIF(F4,TODAY(),"YM") &amp; " Months, " &amp; DATEDIF(F4,TODAY(),"MD") &amp; " Days"</calculatedColumnFormula>
    </tableColumn>
    <tableColumn id="7" xr3:uid="{086B1684-253F-4615-90B0-A2477495322F}" name="Email" dataDxfId="10"/>
    <tableColumn id="9" xr3:uid="{501F9DD3-DE26-4EB6-B1C5-E86333E8FFD1}" name="Unit" dataDxfId="9"/>
    <tableColumn id="10" xr3:uid="{5977B166-FAA7-4743-B2AE-43F28DA1F81E}" name="Personal Number" dataDxfId="8"/>
    <tableColumn id="11" xr3:uid="{8B6CB88A-8B6C-4F5A-9D05-D1A14CC9FAD0}" name="Official Number" dataDxfId="7"/>
    <tableColumn id="19" xr3:uid="{0EC3C521-5020-438A-90DD-BC22F8C7A14D}" name="Supervisors' Enroll" dataDxfId="6"/>
    <tableColumn id="12" xr3:uid="{AC47178C-2057-48FF-8678-505EC4533997}" name="Supervisors' Name" dataDxfId="5"/>
    <tableColumn id="13" xr3:uid="{AF9B9F90-F7DF-4724-92C7-76CB949DE2D1}" name="Supervisors' Designation" dataDxfId="4"/>
    <tableColumn id="14" xr3:uid="{FB7376B2-589E-4133-A057-61E32F35CC39}" name="Supervisors' Email" dataDxfId="3"/>
    <tableColumn id="15" xr3:uid="{780E53D4-FAF4-47DA-973D-4989681D4E99}" name="Designation Status" dataDxfId="2"/>
    <tableColumn id="16" xr3:uid="{80240435-E821-4A4F-BC97-A7519ACB9CF1}" name="Department &amp; Section Head Status" dataDxfId="1"/>
    <tableColumn id="21" xr3:uid="{2EEB595D-FC76-427E-8386-5CD5325A6591}" name="Concened Department/ Team"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mailto:easin.arafat@akijfood.com" TargetMode="External"/><Relationship Id="rId13" Type="http://schemas.openxmlformats.org/officeDocument/2006/relationships/hyperlink" Target="mailto:mehedi.hasan8@akijfairvalue.com" TargetMode="External"/><Relationship Id="rId18" Type="http://schemas.openxmlformats.org/officeDocument/2006/relationships/hyperlink" Target="mailto:arafat.chowdhury@neoscoder.com" TargetMode="External"/><Relationship Id="rId26" Type="http://schemas.openxmlformats.org/officeDocument/2006/relationships/hyperlink" Target="mailto:shahriar.mahbub@akijfood.com" TargetMode="External"/><Relationship Id="rId3" Type="http://schemas.openxmlformats.org/officeDocument/2006/relationships/hyperlink" Target="mailto:jahangir.alam1@ampublication.com" TargetMode="External"/><Relationship Id="rId21" Type="http://schemas.openxmlformats.org/officeDocument/2006/relationships/hyperlink" Target="mailto:zahid.rahman@akijfood.com" TargetMode="External"/><Relationship Id="rId7" Type="http://schemas.openxmlformats.org/officeDocument/2006/relationships/hyperlink" Target="mailto:jakaria.khan@akijfood.com" TargetMode="External"/><Relationship Id="rId12" Type="http://schemas.openxmlformats.org/officeDocument/2006/relationships/hyperlink" Target="mailto:syem.toukir@akijdairy.net" TargetMode="External"/><Relationship Id="rId17" Type="http://schemas.openxmlformats.org/officeDocument/2006/relationships/hyperlink" Target="mailto:amin.miji@akijbicycle.com" TargetMode="External"/><Relationship Id="rId25" Type="http://schemas.openxmlformats.org/officeDocument/2006/relationships/hyperlink" Target="mailto:nasir@akijfood.com" TargetMode="External"/><Relationship Id="rId2" Type="http://schemas.openxmlformats.org/officeDocument/2006/relationships/hyperlink" Target="mailto:syed.johurul@akijfood.com" TargetMode="External"/><Relationship Id="rId16" Type="http://schemas.openxmlformats.org/officeDocument/2006/relationships/hyperlink" Target="mailto:debasish.debnath@akijbicycle.com" TargetMode="External"/><Relationship Id="rId20" Type="http://schemas.openxmlformats.org/officeDocument/2006/relationships/hyperlink" Target="mailto:ikhtiar.alam@neoscoder.com" TargetMode="External"/><Relationship Id="rId29" Type="http://schemas.openxmlformats.org/officeDocument/2006/relationships/table" Target="../tables/table1.xml"/><Relationship Id="rId1" Type="http://schemas.openxmlformats.org/officeDocument/2006/relationships/hyperlink" Target="mailto:maidul@akijee.com" TargetMode="External"/><Relationship Id="rId6" Type="http://schemas.openxmlformats.org/officeDocument/2006/relationships/hyperlink" Target="mailto:rabiul.nijhum@ampublication.com" TargetMode="External"/><Relationship Id="rId11" Type="http://schemas.openxmlformats.org/officeDocument/2006/relationships/hyperlink" Target="mailto:puravi.nitu@akijfood.com" TargetMode="External"/><Relationship Id="rId24" Type="http://schemas.openxmlformats.org/officeDocument/2006/relationships/hyperlink" Target="mailto:zahid.rahman@akijfood.com" TargetMode="External"/><Relationship Id="rId5" Type="http://schemas.openxmlformats.org/officeDocument/2006/relationships/hyperlink" Target="mailto:ayaz.faisal@ampublication.com" TargetMode="External"/><Relationship Id="rId15" Type="http://schemas.openxmlformats.org/officeDocument/2006/relationships/hyperlink" Target="mailto:abdus.salam3@akijee.com" TargetMode="External"/><Relationship Id="rId23" Type="http://schemas.openxmlformats.org/officeDocument/2006/relationships/hyperlink" Target="mailto:zahid.rahman@akijfood.com" TargetMode="External"/><Relationship Id="rId28" Type="http://schemas.openxmlformats.org/officeDocument/2006/relationships/drawing" Target="../drawings/drawing1.xml"/><Relationship Id="rId10" Type="http://schemas.openxmlformats.org/officeDocument/2006/relationships/hyperlink" Target="mailto:atiqur.rahman2@akijfood.com" TargetMode="External"/><Relationship Id="rId19" Type="http://schemas.openxmlformats.org/officeDocument/2006/relationships/hyperlink" Target="mailto:mehatub.uddin@neoscoder.com" TargetMode="External"/><Relationship Id="rId4" Type="http://schemas.openxmlformats.org/officeDocument/2006/relationships/hyperlink" Target="mailto:hossain.banna@ampublication.com" TargetMode="External"/><Relationship Id="rId9" Type="http://schemas.openxmlformats.org/officeDocument/2006/relationships/hyperlink" Target="mailto:shahidul.chowdhury@akijfood.com" TargetMode="External"/><Relationship Id="rId14" Type="http://schemas.openxmlformats.org/officeDocument/2006/relationships/hyperlink" Target="mailto:shahalam.samrat@akijfairvalue.com" TargetMode="External"/><Relationship Id="rId22" Type="http://schemas.openxmlformats.org/officeDocument/2006/relationships/hyperlink" Target="mailto:zahid.rahman@akijfood.com" TargetMode="External"/><Relationship Id="rId27" Type="http://schemas.openxmlformats.org/officeDocument/2006/relationships/printerSettings" Target="../printerSettings/printerSettings1.bin"/><Relationship Id="rId30"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D80BAA-DA91-4BE1-A22E-2D96EB1C754A}">
  <dimension ref="A1:S650"/>
  <sheetViews>
    <sheetView tabSelected="1" zoomScale="85" zoomScaleNormal="85" workbookViewId="0">
      <pane ySplit="3" topLeftCell="A4" activePane="bottomLeft" state="frozen"/>
      <selection pane="bottomLeft"/>
    </sheetView>
  </sheetViews>
  <sheetFormatPr defaultColWidth="8.7109375" defaultRowHeight="14.45"/>
  <cols>
    <col min="1" max="1" width="8.140625" style="1" bestFit="1" customWidth="1"/>
    <col min="2" max="2" width="11.5703125" style="1" bestFit="1" customWidth="1"/>
    <col min="3" max="3" width="35.85546875" style="11" bestFit="1" customWidth="1"/>
    <col min="4" max="4" width="29.42578125" style="7" bestFit="1" customWidth="1"/>
    <col min="5" max="5" width="42.5703125" style="7" bestFit="1" customWidth="1"/>
    <col min="6" max="6" width="19.85546875" style="31" bestFit="1" customWidth="1"/>
    <col min="7" max="7" width="37.140625" style="7" bestFit="1" customWidth="1"/>
    <col min="8" max="8" width="29.85546875" style="7" bestFit="1" customWidth="1"/>
    <col min="9" max="9" width="43.42578125" style="7" bestFit="1" customWidth="1"/>
    <col min="10" max="10" width="10.140625" style="7" bestFit="1" customWidth="1"/>
    <col min="11" max="11" width="22" style="7" bestFit="1" customWidth="1"/>
    <col min="12" max="12" width="20.5703125" style="12" bestFit="1" customWidth="1"/>
    <col min="13" max="13" width="23" style="13" bestFit="1" customWidth="1"/>
    <col min="14" max="14" width="54.85546875" style="7" bestFit="1" customWidth="1"/>
    <col min="15" max="16" width="36" style="7" bestFit="1" customWidth="1"/>
    <col min="17" max="17" width="23.42578125" style="1" bestFit="1" customWidth="1"/>
    <col min="18" max="18" width="28.85546875" style="1" bestFit="1" customWidth="1"/>
    <col min="19" max="19" width="50.5703125" style="7" bestFit="1" customWidth="1"/>
    <col min="20" max="16384" width="8.7109375" style="7"/>
  </cols>
  <sheetData>
    <row r="1" spans="1:19" ht="76.5" customHeight="1" thickBot="1">
      <c r="A1" s="40" t="s">
        <v>0</v>
      </c>
      <c r="B1" s="41"/>
      <c r="C1" s="41"/>
      <c r="D1" s="41"/>
      <c r="E1" s="41"/>
      <c r="F1" s="41"/>
      <c r="G1" s="41"/>
      <c r="H1" s="41"/>
      <c r="I1" s="41"/>
      <c r="J1" s="41"/>
      <c r="K1" s="41"/>
      <c r="L1" s="41"/>
      <c r="M1" s="41"/>
      <c r="N1" s="41"/>
      <c r="O1" s="41"/>
      <c r="P1" s="41"/>
      <c r="Q1" s="41"/>
      <c r="R1" s="41"/>
      <c r="S1" s="42"/>
    </row>
    <row r="2" spans="1:19" s="10" customFormat="1" ht="24" thickBot="1">
      <c r="A2" s="34" t="s">
        <v>1</v>
      </c>
      <c r="B2" s="35"/>
      <c r="C2" s="35"/>
      <c r="D2" s="35"/>
      <c r="E2" s="35"/>
      <c r="F2" s="35"/>
      <c r="G2" s="35"/>
      <c r="H2" s="35"/>
      <c r="I2" s="35"/>
      <c r="J2" s="35"/>
      <c r="K2" s="35"/>
      <c r="L2" s="36"/>
      <c r="M2" s="37" t="s">
        <v>2</v>
      </c>
      <c r="N2" s="38"/>
      <c r="O2" s="38"/>
      <c r="P2" s="39"/>
      <c r="Q2" s="43" t="s">
        <v>3</v>
      </c>
      <c r="R2" s="44"/>
      <c r="S2" s="45"/>
    </row>
    <row r="3" spans="1:19" s="2" customFormat="1" ht="23.1" customHeight="1">
      <c r="A3" s="20" t="s">
        <v>4</v>
      </c>
      <c r="B3" s="21" t="s">
        <v>5</v>
      </c>
      <c r="C3" s="22" t="s">
        <v>6</v>
      </c>
      <c r="D3" s="21" t="s">
        <v>7</v>
      </c>
      <c r="E3" s="21" t="s">
        <v>8</v>
      </c>
      <c r="F3" s="22" t="s">
        <v>9</v>
      </c>
      <c r="G3" s="21" t="s">
        <v>10</v>
      </c>
      <c r="H3" s="21" t="s">
        <v>11</v>
      </c>
      <c r="I3" s="21" t="s">
        <v>12</v>
      </c>
      <c r="J3" s="21" t="s">
        <v>13</v>
      </c>
      <c r="K3" s="21" t="s">
        <v>14</v>
      </c>
      <c r="L3" s="23" t="s">
        <v>15</v>
      </c>
      <c r="M3" s="24" t="s">
        <v>16</v>
      </c>
      <c r="N3" s="25" t="s">
        <v>17</v>
      </c>
      <c r="O3" s="26" t="s">
        <v>18</v>
      </c>
      <c r="P3" s="26" t="s">
        <v>19</v>
      </c>
      <c r="Q3" s="27" t="s">
        <v>20</v>
      </c>
      <c r="R3" s="28" t="s">
        <v>21</v>
      </c>
      <c r="S3" s="28" t="s">
        <v>22</v>
      </c>
    </row>
    <row r="4" spans="1:19" ht="17.45">
      <c r="A4" s="3">
        <f>SUBTOTAL(103,$B$4:B4)</f>
        <v>1</v>
      </c>
      <c r="B4" s="8">
        <v>43644</v>
      </c>
      <c r="C4" s="5" t="s">
        <v>23</v>
      </c>
      <c r="D4" s="4" t="s">
        <v>24</v>
      </c>
      <c r="E4" s="4" t="s">
        <v>25</v>
      </c>
      <c r="F4" s="30">
        <v>41105</v>
      </c>
      <c r="G4" s="19" t="s">
        <v>26</v>
      </c>
      <c r="H4" s="19" t="str">
        <f ca="1">DATEDIF(F4,TODAY(),"Y") &amp; " Years, " &amp; DATEDIF(F4,TODAY(),"YM") &amp; " Months, " &amp; DATEDIF(F4,TODAY(),"MD") &amp; " Days"</f>
        <v>13 Years, 10 Months, 19 Days</v>
      </c>
      <c r="I4" s="4" t="s">
        <v>27</v>
      </c>
      <c r="J4" s="4" t="s">
        <v>28</v>
      </c>
      <c r="K4" s="6">
        <v>1856259127</v>
      </c>
      <c r="L4" s="6">
        <v>1713020619</v>
      </c>
      <c r="M4" s="9">
        <v>1040</v>
      </c>
      <c r="N4" s="4" t="s">
        <v>29</v>
      </c>
      <c r="O4" s="4" t="s">
        <v>30</v>
      </c>
      <c r="P4" s="4" t="s">
        <v>31</v>
      </c>
      <c r="Q4" s="3" t="s">
        <v>32</v>
      </c>
      <c r="R4" s="3" t="s">
        <v>33</v>
      </c>
      <c r="S4" s="4"/>
    </row>
    <row r="5" spans="1:19" ht="17.45">
      <c r="A5" s="3">
        <f>SUBTOTAL(103,$B$4:B5)</f>
        <v>2</v>
      </c>
      <c r="B5" s="8">
        <v>415056</v>
      </c>
      <c r="C5" s="5" t="s">
        <v>34</v>
      </c>
      <c r="D5" s="4" t="s">
        <v>35</v>
      </c>
      <c r="E5" s="4" t="s">
        <v>25</v>
      </c>
      <c r="F5" s="30">
        <v>43435</v>
      </c>
      <c r="G5" s="19" t="s">
        <v>26</v>
      </c>
      <c r="H5" s="19" t="str">
        <f t="shared" ref="H5:H68" ca="1" si="0">DATEDIF(F5,TODAY(),"Y") &amp; " Years, " &amp; DATEDIF(F5,TODAY(),"YM") &amp; " Months, " &amp; DATEDIF(F5,TODAY(),"MD") &amp; " Days"</f>
        <v>7 Years, 6 Months, 2 Days</v>
      </c>
      <c r="I5" s="4" t="s">
        <v>36</v>
      </c>
      <c r="J5" s="4" t="s">
        <v>28</v>
      </c>
      <c r="K5" s="6">
        <v>1670203007</v>
      </c>
      <c r="L5" s="6">
        <v>1713020536</v>
      </c>
      <c r="M5" s="9">
        <v>1040</v>
      </c>
      <c r="N5" s="4" t="s">
        <v>29</v>
      </c>
      <c r="O5" s="4" t="s">
        <v>30</v>
      </c>
      <c r="P5" s="4" t="s">
        <v>31</v>
      </c>
      <c r="Q5" s="3" t="s">
        <v>32</v>
      </c>
      <c r="R5" s="3" t="s">
        <v>33</v>
      </c>
      <c r="S5" s="4"/>
    </row>
    <row r="6" spans="1:19" ht="17.45">
      <c r="A6" s="3">
        <f>SUBTOTAL(103,$B$4:B6)</f>
        <v>3</v>
      </c>
      <c r="B6" s="8">
        <v>540423</v>
      </c>
      <c r="C6" s="5" t="s">
        <v>37</v>
      </c>
      <c r="D6" s="4" t="s">
        <v>38</v>
      </c>
      <c r="E6" s="4" t="s">
        <v>25</v>
      </c>
      <c r="F6" s="30">
        <v>45274</v>
      </c>
      <c r="G6" s="19" t="s">
        <v>26</v>
      </c>
      <c r="H6" s="19" t="str">
        <f t="shared" ca="1" si="0"/>
        <v>2 Years, 5 Months, 20 Days</v>
      </c>
      <c r="I6" s="4" t="s">
        <v>39</v>
      </c>
      <c r="J6" s="4" t="s">
        <v>28</v>
      </c>
      <c r="K6" s="6">
        <v>1613230102</v>
      </c>
      <c r="L6" s="6">
        <v>1329645866</v>
      </c>
      <c r="M6" s="9">
        <v>1040</v>
      </c>
      <c r="N6" s="4" t="s">
        <v>29</v>
      </c>
      <c r="O6" s="4" t="s">
        <v>30</v>
      </c>
      <c r="P6" s="4" t="s">
        <v>31</v>
      </c>
      <c r="Q6" s="3" t="s">
        <v>32</v>
      </c>
      <c r="R6" s="3" t="s">
        <v>33</v>
      </c>
      <c r="S6" s="4"/>
    </row>
    <row r="7" spans="1:19" ht="17.45">
      <c r="A7" s="3">
        <f>SUBTOTAL(103,$B$4:B7)</f>
        <v>4</v>
      </c>
      <c r="B7" s="8">
        <v>543696</v>
      </c>
      <c r="C7" s="5" t="s">
        <v>40</v>
      </c>
      <c r="D7" s="4" t="s">
        <v>38</v>
      </c>
      <c r="E7" s="4" t="s">
        <v>25</v>
      </c>
      <c r="F7" s="30">
        <v>45448</v>
      </c>
      <c r="G7" s="19" t="s">
        <v>26</v>
      </c>
      <c r="H7" s="19" t="str">
        <f t="shared" ca="1" si="0"/>
        <v>1 Years, 11 Months, 29 Days</v>
      </c>
      <c r="I7" s="4" t="s">
        <v>41</v>
      </c>
      <c r="J7" s="4" t="s">
        <v>28</v>
      </c>
      <c r="K7" s="6">
        <v>1553540663</v>
      </c>
      <c r="L7" s="6" t="s">
        <v>42</v>
      </c>
      <c r="M7" s="9">
        <v>1040</v>
      </c>
      <c r="N7" s="4" t="s">
        <v>29</v>
      </c>
      <c r="O7" s="4" t="s">
        <v>30</v>
      </c>
      <c r="P7" s="4" t="s">
        <v>31</v>
      </c>
      <c r="Q7" s="3" t="s">
        <v>32</v>
      </c>
      <c r="R7" s="3" t="s">
        <v>33</v>
      </c>
      <c r="S7" s="4"/>
    </row>
    <row r="8" spans="1:19" ht="17.45">
      <c r="A8" s="3">
        <f>SUBTOTAL(103,$B$4:B8)</f>
        <v>5</v>
      </c>
      <c r="B8" s="8">
        <v>543722</v>
      </c>
      <c r="C8" s="5" t="s">
        <v>43</v>
      </c>
      <c r="D8" s="4" t="s">
        <v>38</v>
      </c>
      <c r="E8" s="4" t="s">
        <v>25</v>
      </c>
      <c r="F8" s="30">
        <v>45453</v>
      </c>
      <c r="G8" s="19" t="s">
        <v>26</v>
      </c>
      <c r="H8" s="19" t="str">
        <f t="shared" ca="1" si="0"/>
        <v>1 Years, 11 Months, 24 Days</v>
      </c>
      <c r="I8" s="4" t="s">
        <v>44</v>
      </c>
      <c r="J8" s="4" t="s">
        <v>28</v>
      </c>
      <c r="K8" s="6">
        <v>1871063082</v>
      </c>
      <c r="L8" s="6" t="s">
        <v>42</v>
      </c>
      <c r="M8" s="9">
        <v>1040</v>
      </c>
      <c r="N8" s="4" t="s">
        <v>29</v>
      </c>
      <c r="O8" s="4" t="s">
        <v>30</v>
      </c>
      <c r="P8" s="4" t="s">
        <v>31</v>
      </c>
      <c r="Q8" s="3" t="s">
        <v>32</v>
      </c>
      <c r="R8" s="3" t="s">
        <v>33</v>
      </c>
      <c r="S8" s="4"/>
    </row>
    <row r="9" spans="1:19" ht="17.45">
      <c r="A9" s="3">
        <f>SUBTOTAL(103,$B$4:B9)</f>
        <v>6</v>
      </c>
      <c r="B9" s="8">
        <v>543723</v>
      </c>
      <c r="C9" s="5" t="s">
        <v>45</v>
      </c>
      <c r="D9" s="4" t="s">
        <v>38</v>
      </c>
      <c r="E9" s="4" t="s">
        <v>25</v>
      </c>
      <c r="F9" s="30">
        <v>45453</v>
      </c>
      <c r="G9" s="19" t="s">
        <v>26</v>
      </c>
      <c r="H9" s="19" t="str">
        <f t="shared" ca="1" si="0"/>
        <v>1 Years, 11 Months, 24 Days</v>
      </c>
      <c r="I9" s="4" t="s">
        <v>46</v>
      </c>
      <c r="J9" s="4" t="s">
        <v>28</v>
      </c>
      <c r="K9" s="6">
        <v>1937118490</v>
      </c>
      <c r="L9" s="6" t="s">
        <v>42</v>
      </c>
      <c r="M9" s="9">
        <v>1040</v>
      </c>
      <c r="N9" s="4" t="s">
        <v>29</v>
      </c>
      <c r="O9" s="4" t="s">
        <v>30</v>
      </c>
      <c r="P9" s="4" t="s">
        <v>31</v>
      </c>
      <c r="Q9" s="3" t="s">
        <v>32</v>
      </c>
      <c r="R9" s="3" t="s">
        <v>33</v>
      </c>
      <c r="S9" s="4"/>
    </row>
    <row r="10" spans="1:19" ht="17.45">
      <c r="A10" s="3">
        <f>SUBTOTAL(103,$B$4:B10)</f>
        <v>7</v>
      </c>
      <c r="B10" s="8">
        <v>551243</v>
      </c>
      <c r="C10" s="5" t="s">
        <v>47</v>
      </c>
      <c r="D10" s="4" t="s">
        <v>48</v>
      </c>
      <c r="E10" s="4" t="s">
        <v>25</v>
      </c>
      <c r="F10" s="30">
        <v>45712</v>
      </c>
      <c r="G10" s="19" t="s">
        <v>26</v>
      </c>
      <c r="H10" s="19" t="str">
        <f t="shared" ca="1" si="0"/>
        <v>1 Years, 3 Months, 10 Days</v>
      </c>
      <c r="I10" s="4" t="s">
        <v>49</v>
      </c>
      <c r="J10" s="4" t="s">
        <v>28</v>
      </c>
      <c r="K10" s="6">
        <v>1334762513</v>
      </c>
      <c r="L10" s="6" t="s">
        <v>42</v>
      </c>
      <c r="M10" s="9">
        <v>1040</v>
      </c>
      <c r="N10" s="4" t="s">
        <v>29</v>
      </c>
      <c r="O10" s="4" t="s">
        <v>30</v>
      </c>
      <c r="P10" s="4" t="s">
        <v>31</v>
      </c>
      <c r="Q10" s="3" t="s">
        <v>32</v>
      </c>
      <c r="R10" s="3" t="s">
        <v>33</v>
      </c>
      <c r="S10" s="4"/>
    </row>
    <row r="11" spans="1:19" ht="17.45">
      <c r="A11" s="3">
        <f>SUBTOTAL(103,$B$4:B11)</f>
        <v>8</v>
      </c>
      <c r="B11" s="8">
        <v>553866</v>
      </c>
      <c r="C11" s="5" t="s">
        <v>50</v>
      </c>
      <c r="D11" s="4" t="s">
        <v>38</v>
      </c>
      <c r="E11" s="4" t="s">
        <v>25</v>
      </c>
      <c r="F11" s="30">
        <v>45812</v>
      </c>
      <c r="G11" s="19" t="s">
        <v>26</v>
      </c>
      <c r="H11" s="19" t="str">
        <f t="shared" ca="1" si="0"/>
        <v>0 Years, 11 Months, 30 Days</v>
      </c>
      <c r="I11" s="4" t="s">
        <v>51</v>
      </c>
      <c r="J11" s="4" t="s">
        <v>28</v>
      </c>
      <c r="K11" s="6">
        <v>1636946185</v>
      </c>
      <c r="L11" s="6" t="s">
        <v>42</v>
      </c>
      <c r="M11" s="9">
        <v>1040</v>
      </c>
      <c r="N11" s="4" t="s">
        <v>29</v>
      </c>
      <c r="O11" s="4" t="s">
        <v>30</v>
      </c>
      <c r="P11" s="4" t="s">
        <v>31</v>
      </c>
      <c r="Q11" s="3" t="s">
        <v>32</v>
      </c>
      <c r="R11" s="3" t="s">
        <v>33</v>
      </c>
      <c r="S11" s="4"/>
    </row>
    <row r="12" spans="1:19" ht="17.45">
      <c r="A12" s="3">
        <f>SUBTOTAL(103,$B$4:B12)</f>
        <v>9</v>
      </c>
      <c r="B12" s="8">
        <v>562758</v>
      </c>
      <c r="C12" s="5" t="s">
        <v>52</v>
      </c>
      <c r="D12" s="4" t="s">
        <v>38</v>
      </c>
      <c r="E12" s="4" t="s">
        <v>25</v>
      </c>
      <c r="F12" s="30">
        <v>46075</v>
      </c>
      <c r="G12" s="19" t="s">
        <v>26</v>
      </c>
      <c r="H12" s="19" t="str">
        <f t="shared" ca="1" si="0"/>
        <v>0 Years, 3 Months, 12 Days</v>
      </c>
      <c r="I12" s="4" t="s">
        <v>53</v>
      </c>
      <c r="J12" s="4" t="s">
        <v>28</v>
      </c>
      <c r="K12" s="6" t="s">
        <v>54</v>
      </c>
      <c r="L12" s="6"/>
      <c r="M12" s="9">
        <v>1040</v>
      </c>
      <c r="N12" s="4" t="s">
        <v>29</v>
      </c>
      <c r="O12" s="4" t="s">
        <v>30</v>
      </c>
      <c r="P12" s="4" t="s">
        <v>31</v>
      </c>
      <c r="Q12" s="3" t="s">
        <v>32</v>
      </c>
      <c r="R12" s="3" t="s">
        <v>33</v>
      </c>
      <c r="S12" s="4"/>
    </row>
    <row r="13" spans="1:19" ht="17.45">
      <c r="A13" s="3">
        <f>SUBTOTAL(103,$B$4:B13)</f>
        <v>10</v>
      </c>
      <c r="B13" s="8">
        <v>562375</v>
      </c>
      <c r="C13" s="5" t="s">
        <v>55</v>
      </c>
      <c r="D13" s="4" t="s">
        <v>35</v>
      </c>
      <c r="E13" s="4" t="s">
        <v>25</v>
      </c>
      <c r="F13" s="30">
        <v>46058</v>
      </c>
      <c r="G13" s="19" t="s">
        <v>56</v>
      </c>
      <c r="H13" s="19" t="str">
        <f t="shared" ca="1" si="0"/>
        <v>0 Years, 3 Months, 29 Days</v>
      </c>
      <c r="I13" s="16" t="s">
        <v>57</v>
      </c>
      <c r="J13" s="4" t="s">
        <v>58</v>
      </c>
      <c r="K13" s="6" t="s">
        <v>59</v>
      </c>
      <c r="L13" s="6"/>
      <c r="M13" s="9">
        <v>1041</v>
      </c>
      <c r="N13" s="4" t="s">
        <v>60</v>
      </c>
      <c r="O13" s="4" t="s">
        <v>61</v>
      </c>
      <c r="P13" s="4" t="s">
        <v>62</v>
      </c>
      <c r="Q13" s="3" t="s">
        <v>32</v>
      </c>
      <c r="R13" s="3" t="s">
        <v>33</v>
      </c>
      <c r="S13" s="4"/>
    </row>
    <row r="14" spans="1:19" ht="17.45">
      <c r="A14" s="3">
        <f>SUBTOTAL(103,$B$4:B14)</f>
        <v>11</v>
      </c>
      <c r="B14" s="8">
        <v>563156</v>
      </c>
      <c r="C14" s="5" t="s">
        <v>63</v>
      </c>
      <c r="D14" s="4" t="s">
        <v>48</v>
      </c>
      <c r="E14" s="4" t="s">
        <v>25</v>
      </c>
      <c r="F14" s="30">
        <v>46086</v>
      </c>
      <c r="G14" s="19" t="s">
        <v>26</v>
      </c>
      <c r="H14" s="19" t="str">
        <f t="shared" ca="1" si="0"/>
        <v>0 Years, 2 Months, 29 Days</v>
      </c>
      <c r="I14" s="4" t="s">
        <v>64</v>
      </c>
      <c r="J14" s="4" t="s">
        <v>28</v>
      </c>
      <c r="K14" s="6" t="s">
        <v>65</v>
      </c>
      <c r="L14" s="6"/>
      <c r="M14" s="9">
        <v>1041</v>
      </c>
      <c r="N14" s="4" t="s">
        <v>60</v>
      </c>
      <c r="O14" s="4" t="s">
        <v>61</v>
      </c>
      <c r="P14" s="4" t="s">
        <v>62</v>
      </c>
      <c r="Q14" s="3" t="s">
        <v>32</v>
      </c>
      <c r="R14" s="3" t="s">
        <v>33</v>
      </c>
      <c r="S14" s="4"/>
    </row>
    <row r="15" spans="1:19" ht="17.45">
      <c r="A15" s="3">
        <f>SUBTOTAL(103,$B$4:B15)</f>
        <v>12</v>
      </c>
      <c r="B15" s="8">
        <v>1048</v>
      </c>
      <c r="C15" s="5" t="s">
        <v>66</v>
      </c>
      <c r="D15" s="4" t="s">
        <v>24</v>
      </c>
      <c r="E15" s="4" t="s">
        <v>25</v>
      </c>
      <c r="F15" s="30">
        <v>40360</v>
      </c>
      <c r="G15" s="19" t="s">
        <v>26</v>
      </c>
      <c r="H15" s="19" t="str">
        <f t="shared" ca="1" si="0"/>
        <v>15 Years, 11 Months, 2 Days</v>
      </c>
      <c r="I15" s="4" t="s">
        <v>67</v>
      </c>
      <c r="J15" s="4" t="s">
        <v>28</v>
      </c>
      <c r="K15" s="6">
        <v>1671603265</v>
      </c>
      <c r="L15" s="6">
        <v>1329645707</v>
      </c>
      <c r="M15" s="9">
        <v>377766</v>
      </c>
      <c r="N15" s="4" t="s">
        <v>68</v>
      </c>
      <c r="O15" s="4" t="s">
        <v>30</v>
      </c>
      <c r="P15" s="4" t="s">
        <v>69</v>
      </c>
      <c r="Q15" s="3" t="s">
        <v>32</v>
      </c>
      <c r="R15" s="3" t="s">
        <v>33</v>
      </c>
      <c r="S15" s="4"/>
    </row>
    <row r="16" spans="1:19" ht="17.45">
      <c r="A16" s="3">
        <f>SUBTOTAL(103,$B$4:B16)</f>
        <v>13</v>
      </c>
      <c r="B16" s="8">
        <v>42815</v>
      </c>
      <c r="C16" s="5" t="s">
        <v>70</v>
      </c>
      <c r="D16" s="4" t="s">
        <v>61</v>
      </c>
      <c r="E16" s="4" t="s">
        <v>25</v>
      </c>
      <c r="F16" s="30">
        <v>41101</v>
      </c>
      <c r="G16" s="19" t="s">
        <v>26</v>
      </c>
      <c r="H16" s="19" t="str">
        <f t="shared" ca="1" si="0"/>
        <v>13 Years, 10 Months, 23 Days</v>
      </c>
      <c r="I16" s="4" t="s">
        <v>71</v>
      </c>
      <c r="J16" s="4" t="s">
        <v>28</v>
      </c>
      <c r="K16" s="6">
        <v>1766155614</v>
      </c>
      <c r="L16" s="6">
        <v>1713020587</v>
      </c>
      <c r="M16" s="9">
        <v>377766</v>
      </c>
      <c r="N16" s="4" t="s">
        <v>68</v>
      </c>
      <c r="O16" s="4" t="s">
        <v>30</v>
      </c>
      <c r="P16" s="4" t="s">
        <v>69</v>
      </c>
      <c r="Q16" s="3" t="s">
        <v>32</v>
      </c>
      <c r="R16" s="3" t="s">
        <v>33</v>
      </c>
      <c r="S16" s="4"/>
    </row>
    <row r="17" spans="1:19" ht="17.45">
      <c r="A17" s="3">
        <f>SUBTOTAL(103,$B$4:B17)</f>
        <v>14</v>
      </c>
      <c r="B17" s="8">
        <v>292454</v>
      </c>
      <c r="C17" s="5" t="s">
        <v>72</v>
      </c>
      <c r="D17" s="4" t="s">
        <v>35</v>
      </c>
      <c r="E17" s="4" t="s">
        <v>25</v>
      </c>
      <c r="F17" s="30">
        <v>42821</v>
      </c>
      <c r="G17" s="19" t="s">
        <v>26</v>
      </c>
      <c r="H17" s="19" t="str">
        <f t="shared" ca="1" si="0"/>
        <v>9 Years, 2 Months, 7 Days</v>
      </c>
      <c r="I17" s="4" t="s">
        <v>73</v>
      </c>
      <c r="J17" s="4" t="s">
        <v>28</v>
      </c>
      <c r="K17" s="6">
        <v>1793421499</v>
      </c>
      <c r="L17" s="6">
        <v>1713020609</v>
      </c>
      <c r="M17" s="9">
        <v>377766</v>
      </c>
      <c r="N17" s="4" t="s">
        <v>68</v>
      </c>
      <c r="O17" s="4" t="s">
        <v>30</v>
      </c>
      <c r="P17" s="4" t="s">
        <v>69</v>
      </c>
      <c r="Q17" s="3" t="s">
        <v>32</v>
      </c>
      <c r="R17" s="3" t="s">
        <v>33</v>
      </c>
      <c r="S17" s="4"/>
    </row>
    <row r="18" spans="1:19" ht="17.45">
      <c r="A18" s="3">
        <f>SUBTOTAL(103,$B$4:B18)</f>
        <v>15</v>
      </c>
      <c r="B18" s="8">
        <v>538499</v>
      </c>
      <c r="C18" s="5" t="s">
        <v>74</v>
      </c>
      <c r="D18" s="4" t="s">
        <v>48</v>
      </c>
      <c r="E18" s="4" t="s">
        <v>25</v>
      </c>
      <c r="F18" s="30">
        <v>45158</v>
      </c>
      <c r="G18" s="19" t="s">
        <v>26</v>
      </c>
      <c r="H18" s="19" t="str">
        <f t="shared" ca="1" si="0"/>
        <v>2 Years, 9 Months, 14 Days</v>
      </c>
      <c r="I18" s="4" t="s">
        <v>75</v>
      </c>
      <c r="J18" s="4" t="s">
        <v>28</v>
      </c>
      <c r="K18" s="6">
        <v>1324762593</v>
      </c>
      <c r="L18" s="6">
        <v>1324762593</v>
      </c>
      <c r="M18" s="9">
        <v>377766</v>
      </c>
      <c r="N18" s="4" t="s">
        <v>68</v>
      </c>
      <c r="O18" s="4" t="s">
        <v>30</v>
      </c>
      <c r="P18" s="4" t="s">
        <v>69</v>
      </c>
      <c r="Q18" s="3" t="s">
        <v>32</v>
      </c>
      <c r="R18" s="3" t="s">
        <v>33</v>
      </c>
      <c r="S18" s="4"/>
    </row>
    <row r="19" spans="1:19" ht="17.45">
      <c r="A19" s="3">
        <f>SUBTOTAL(103,$B$4:B19)</f>
        <v>16</v>
      </c>
      <c r="B19" s="8">
        <v>551983</v>
      </c>
      <c r="C19" s="5" t="s">
        <v>76</v>
      </c>
      <c r="D19" s="4" t="s">
        <v>38</v>
      </c>
      <c r="E19" s="4" t="s">
        <v>25</v>
      </c>
      <c r="F19" s="30">
        <v>45754</v>
      </c>
      <c r="G19" s="19" t="s">
        <v>26</v>
      </c>
      <c r="H19" s="19" t="str">
        <f t="shared" ca="1" si="0"/>
        <v>1 Years, 1 Months, 27 Days</v>
      </c>
      <c r="I19" s="4" t="s">
        <v>77</v>
      </c>
      <c r="J19" s="4" t="s">
        <v>28</v>
      </c>
      <c r="K19" s="6">
        <v>1861581694</v>
      </c>
      <c r="L19" s="6" t="s">
        <v>42</v>
      </c>
      <c r="M19" s="9">
        <v>377766</v>
      </c>
      <c r="N19" s="4" t="s">
        <v>68</v>
      </c>
      <c r="O19" s="4" t="s">
        <v>30</v>
      </c>
      <c r="P19" s="4" t="s">
        <v>69</v>
      </c>
      <c r="Q19" s="3" t="s">
        <v>32</v>
      </c>
      <c r="R19" s="3" t="s">
        <v>33</v>
      </c>
      <c r="S19" s="4"/>
    </row>
    <row r="20" spans="1:19" ht="17.45">
      <c r="A20" s="3">
        <f>SUBTOTAL(103,$B$4:B20)</f>
        <v>17</v>
      </c>
      <c r="B20" s="8">
        <v>560503</v>
      </c>
      <c r="C20" s="5" t="s">
        <v>78</v>
      </c>
      <c r="D20" s="4" t="s">
        <v>35</v>
      </c>
      <c r="E20" s="4" t="s">
        <v>25</v>
      </c>
      <c r="F20" s="30">
        <v>46008</v>
      </c>
      <c r="G20" s="19" t="s">
        <v>26</v>
      </c>
      <c r="H20" s="19" t="str">
        <f t="shared" ca="1" si="0"/>
        <v>0 Years, 5 Months, 17 Days</v>
      </c>
      <c r="I20" s="4" t="s">
        <v>79</v>
      </c>
      <c r="J20" s="4" t="s">
        <v>28</v>
      </c>
      <c r="K20" s="6"/>
      <c r="L20" s="6"/>
      <c r="M20" s="9">
        <v>377766</v>
      </c>
      <c r="N20" s="4" t="s">
        <v>68</v>
      </c>
      <c r="O20" s="4" t="s">
        <v>30</v>
      </c>
      <c r="P20" s="4" t="s">
        <v>69</v>
      </c>
      <c r="Q20" s="3" t="s">
        <v>32</v>
      </c>
      <c r="R20" s="3" t="s">
        <v>33</v>
      </c>
      <c r="S20" s="4"/>
    </row>
    <row r="21" spans="1:19" ht="17.45">
      <c r="A21" s="3">
        <f>SUBTOTAL(103,$B$4:B21)</f>
        <v>18</v>
      </c>
      <c r="B21" s="8">
        <v>560862</v>
      </c>
      <c r="C21" s="5" t="s">
        <v>80</v>
      </c>
      <c r="D21" s="4" t="s">
        <v>35</v>
      </c>
      <c r="E21" s="4" t="s">
        <v>25</v>
      </c>
      <c r="F21" s="30">
        <v>46021</v>
      </c>
      <c r="G21" s="19" t="s">
        <v>26</v>
      </c>
      <c r="H21" s="19" t="str">
        <f t="shared" ca="1" si="0"/>
        <v>0 Years, 5 Months, 4 Days</v>
      </c>
      <c r="I21" s="4" t="s">
        <v>81</v>
      </c>
      <c r="J21" s="4" t="s">
        <v>28</v>
      </c>
      <c r="K21" s="6"/>
      <c r="L21" s="6"/>
      <c r="M21" s="9">
        <v>377766</v>
      </c>
      <c r="N21" s="4" t="s">
        <v>68</v>
      </c>
      <c r="O21" s="4" t="s">
        <v>30</v>
      </c>
      <c r="P21" s="4" t="s">
        <v>69</v>
      </c>
      <c r="Q21" s="3" t="s">
        <v>32</v>
      </c>
      <c r="R21" s="3" t="s">
        <v>33</v>
      </c>
      <c r="S21" s="4"/>
    </row>
    <row r="22" spans="1:19" ht="17.45">
      <c r="A22" s="3">
        <f>SUBTOTAL(103,$B$4:B22)</f>
        <v>19</v>
      </c>
      <c r="B22" s="8">
        <v>562120</v>
      </c>
      <c r="C22" s="5" t="s">
        <v>82</v>
      </c>
      <c r="D22" s="4" t="s">
        <v>35</v>
      </c>
      <c r="E22" s="4" t="s">
        <v>25</v>
      </c>
      <c r="F22" s="30">
        <v>46054</v>
      </c>
      <c r="G22" s="19" t="s">
        <v>26</v>
      </c>
      <c r="H22" s="19" t="str">
        <f t="shared" ca="1" si="0"/>
        <v>0 Years, 4 Months, 2 Days</v>
      </c>
      <c r="I22" s="16" t="s">
        <v>83</v>
      </c>
      <c r="J22" s="4" t="s">
        <v>28</v>
      </c>
      <c r="K22" s="6" t="s">
        <v>84</v>
      </c>
      <c r="L22" s="6"/>
      <c r="M22" s="9">
        <v>377766</v>
      </c>
      <c r="N22" s="4" t="s">
        <v>68</v>
      </c>
      <c r="O22" s="4" t="s">
        <v>30</v>
      </c>
      <c r="P22" s="4" t="s">
        <v>69</v>
      </c>
      <c r="Q22" s="3" t="s">
        <v>32</v>
      </c>
      <c r="R22" s="3" t="s">
        <v>33</v>
      </c>
      <c r="S22" s="4"/>
    </row>
    <row r="23" spans="1:19" ht="17.45">
      <c r="A23" s="3">
        <f>SUBTOTAL(103,$B$4:B23)</f>
        <v>20</v>
      </c>
      <c r="B23" s="8">
        <v>562252</v>
      </c>
      <c r="C23" s="5" t="s">
        <v>85</v>
      </c>
      <c r="D23" s="4" t="s">
        <v>48</v>
      </c>
      <c r="E23" s="4" t="s">
        <v>25</v>
      </c>
      <c r="F23" s="30">
        <v>46055</v>
      </c>
      <c r="G23" s="19" t="s">
        <v>26</v>
      </c>
      <c r="H23" s="19" t="str">
        <f t="shared" ca="1" si="0"/>
        <v>0 Years, 4 Months, 1 Days</v>
      </c>
      <c r="I23" s="4" t="s">
        <v>86</v>
      </c>
      <c r="J23" s="4" t="s">
        <v>28</v>
      </c>
      <c r="K23" s="6" t="s">
        <v>87</v>
      </c>
      <c r="L23" s="6"/>
      <c r="M23" s="9">
        <v>377766</v>
      </c>
      <c r="N23" s="4" t="s">
        <v>68</v>
      </c>
      <c r="O23" s="4" t="s">
        <v>30</v>
      </c>
      <c r="P23" s="4" t="s">
        <v>69</v>
      </c>
      <c r="Q23" s="3" t="s">
        <v>32</v>
      </c>
      <c r="R23" s="3" t="s">
        <v>33</v>
      </c>
      <c r="S23" s="4"/>
    </row>
    <row r="24" spans="1:19" ht="17.45">
      <c r="A24" s="3">
        <f>SUBTOTAL(103,$B$4:B24)</f>
        <v>21</v>
      </c>
      <c r="B24" s="8">
        <v>562312</v>
      </c>
      <c r="C24" s="5" t="s">
        <v>88</v>
      </c>
      <c r="D24" s="4" t="s">
        <v>48</v>
      </c>
      <c r="E24" s="4" t="s">
        <v>25</v>
      </c>
      <c r="F24" s="30">
        <v>46056</v>
      </c>
      <c r="G24" s="19" t="s">
        <v>26</v>
      </c>
      <c r="H24" s="19" t="str">
        <f t="shared" ca="1" si="0"/>
        <v>0 Years, 4 Months, 0 Days</v>
      </c>
      <c r="I24" s="16" t="s">
        <v>89</v>
      </c>
      <c r="J24" s="4" t="s">
        <v>28</v>
      </c>
      <c r="K24" s="6" t="s">
        <v>90</v>
      </c>
      <c r="L24" s="6"/>
      <c r="M24" s="9">
        <v>377766</v>
      </c>
      <c r="N24" s="4" t="s">
        <v>68</v>
      </c>
      <c r="O24" s="4" t="s">
        <v>30</v>
      </c>
      <c r="P24" s="4" t="s">
        <v>69</v>
      </c>
      <c r="Q24" s="3" t="s">
        <v>32</v>
      </c>
      <c r="R24" s="3" t="s">
        <v>33</v>
      </c>
      <c r="S24" s="4"/>
    </row>
    <row r="25" spans="1:19" ht="17.45">
      <c r="A25" s="3">
        <f>SUBTOTAL(103,$B$4:B25)</f>
        <v>22</v>
      </c>
      <c r="B25" s="8">
        <v>320783</v>
      </c>
      <c r="C25" s="5" t="s">
        <v>91</v>
      </c>
      <c r="D25" s="4" t="s">
        <v>35</v>
      </c>
      <c r="E25" s="4" t="s">
        <v>25</v>
      </c>
      <c r="F25" s="30">
        <v>43043</v>
      </c>
      <c r="G25" s="19" t="s">
        <v>26</v>
      </c>
      <c r="H25" s="19" t="str">
        <f t="shared" ca="1" si="0"/>
        <v>8 Years, 6 Months, 30 Days</v>
      </c>
      <c r="I25" s="4" t="s">
        <v>92</v>
      </c>
      <c r="J25" s="4" t="s">
        <v>28</v>
      </c>
      <c r="K25" s="6">
        <v>1713020607</v>
      </c>
      <c r="L25" s="6">
        <v>1755516476</v>
      </c>
      <c r="M25" s="9">
        <v>378038</v>
      </c>
      <c r="N25" s="4" t="s">
        <v>93</v>
      </c>
      <c r="O25" s="4" t="s">
        <v>94</v>
      </c>
      <c r="P25" s="4" t="s">
        <v>95</v>
      </c>
      <c r="Q25" s="3" t="s">
        <v>32</v>
      </c>
      <c r="R25" s="3" t="s">
        <v>33</v>
      </c>
      <c r="S25" s="4"/>
    </row>
    <row r="26" spans="1:19" ht="17.45">
      <c r="A26" s="3">
        <f>SUBTOTAL(103,$B$4:B26)</f>
        <v>23</v>
      </c>
      <c r="B26" s="8">
        <v>539937</v>
      </c>
      <c r="C26" s="5" t="s">
        <v>96</v>
      </c>
      <c r="D26" s="4" t="s">
        <v>61</v>
      </c>
      <c r="E26" s="4" t="s">
        <v>25</v>
      </c>
      <c r="F26" s="30">
        <v>45239</v>
      </c>
      <c r="G26" s="19" t="s">
        <v>26</v>
      </c>
      <c r="H26" s="19" t="str">
        <f t="shared" ca="1" si="0"/>
        <v>2 Years, 6 Months, 25 Days</v>
      </c>
      <c r="I26" s="4" t="s">
        <v>97</v>
      </c>
      <c r="J26" s="4" t="s">
        <v>28</v>
      </c>
      <c r="K26" s="6">
        <v>1832287209</v>
      </c>
      <c r="L26" s="6">
        <v>1324762647</v>
      </c>
      <c r="M26" s="9">
        <v>378038</v>
      </c>
      <c r="N26" s="4" t="s">
        <v>93</v>
      </c>
      <c r="O26" s="4" t="s">
        <v>94</v>
      </c>
      <c r="P26" s="4" t="s">
        <v>95</v>
      </c>
      <c r="Q26" s="3" t="s">
        <v>32</v>
      </c>
      <c r="R26" s="3" t="s">
        <v>33</v>
      </c>
      <c r="S26" s="4"/>
    </row>
    <row r="27" spans="1:19" ht="17.45">
      <c r="A27" s="3">
        <f>SUBTOTAL(103,$B$4:B27)</f>
        <v>24</v>
      </c>
      <c r="B27" s="8">
        <v>555734</v>
      </c>
      <c r="C27" s="5" t="s">
        <v>98</v>
      </c>
      <c r="D27" s="4" t="s">
        <v>48</v>
      </c>
      <c r="E27" s="4" t="s">
        <v>25</v>
      </c>
      <c r="F27" s="30">
        <v>45881</v>
      </c>
      <c r="G27" s="19" t="s">
        <v>26</v>
      </c>
      <c r="H27" s="19" t="str">
        <f t="shared" ca="1" si="0"/>
        <v>0 Years, 9 Months, 22 Days</v>
      </c>
      <c r="I27" s="4" t="s">
        <v>99</v>
      </c>
      <c r="J27" s="4" t="s">
        <v>28</v>
      </c>
      <c r="K27" s="6">
        <v>1633502086</v>
      </c>
      <c r="L27" s="6" t="s">
        <v>42</v>
      </c>
      <c r="M27" s="9">
        <v>378038</v>
      </c>
      <c r="N27" s="4" t="s">
        <v>93</v>
      </c>
      <c r="O27" s="4" t="s">
        <v>94</v>
      </c>
      <c r="P27" s="4" t="s">
        <v>95</v>
      </c>
      <c r="Q27" s="3" t="s">
        <v>32</v>
      </c>
      <c r="R27" s="3" t="s">
        <v>33</v>
      </c>
      <c r="S27" s="4"/>
    </row>
    <row r="28" spans="1:19" ht="17.45">
      <c r="A28" s="3">
        <f>SUBTOTAL(103,$B$4:B28)</f>
        <v>25</v>
      </c>
      <c r="B28" s="8">
        <v>562993</v>
      </c>
      <c r="C28" s="5" t="s">
        <v>100</v>
      </c>
      <c r="D28" s="4" t="s">
        <v>38</v>
      </c>
      <c r="E28" s="4" t="s">
        <v>25</v>
      </c>
      <c r="F28" s="30">
        <v>46082</v>
      </c>
      <c r="G28" s="19" t="s">
        <v>26</v>
      </c>
      <c r="H28" s="19" t="str">
        <f t="shared" ca="1" si="0"/>
        <v>0 Years, 3 Months, 2 Days</v>
      </c>
      <c r="I28" s="4" t="s">
        <v>101</v>
      </c>
      <c r="J28" s="4" t="s">
        <v>28</v>
      </c>
      <c r="K28" s="6" t="s">
        <v>102</v>
      </c>
      <c r="L28" s="6"/>
      <c r="M28" s="9">
        <v>378038</v>
      </c>
      <c r="N28" s="4" t="s">
        <v>93</v>
      </c>
      <c r="O28" s="4" t="s">
        <v>94</v>
      </c>
      <c r="P28" s="4" t="s">
        <v>95</v>
      </c>
      <c r="Q28" s="3" t="s">
        <v>32</v>
      </c>
      <c r="R28" s="3" t="s">
        <v>33</v>
      </c>
      <c r="S28" s="4"/>
    </row>
    <row r="29" spans="1:19" ht="17.45">
      <c r="A29" s="3">
        <f>SUBTOTAL(103,$B$4:B29)</f>
        <v>26</v>
      </c>
      <c r="B29" s="8">
        <v>524758</v>
      </c>
      <c r="C29" s="5" t="s">
        <v>103</v>
      </c>
      <c r="D29" s="4" t="s">
        <v>30</v>
      </c>
      <c r="E29" s="4" t="s">
        <v>25</v>
      </c>
      <c r="F29" s="30">
        <v>44531</v>
      </c>
      <c r="G29" s="19" t="s">
        <v>26</v>
      </c>
      <c r="H29" s="19" t="str">
        <f t="shared" ca="1" si="0"/>
        <v>4 Years, 6 Months, 2 Days</v>
      </c>
      <c r="I29" s="4" t="s">
        <v>104</v>
      </c>
      <c r="J29" s="4" t="s">
        <v>28</v>
      </c>
      <c r="K29" s="6">
        <v>1716540786</v>
      </c>
      <c r="L29" s="6">
        <v>1755630289</v>
      </c>
      <c r="M29" s="9">
        <v>518524</v>
      </c>
      <c r="N29" s="4" t="s">
        <v>105</v>
      </c>
      <c r="O29" s="4" t="s">
        <v>106</v>
      </c>
      <c r="P29" s="4" t="s">
        <v>107</v>
      </c>
      <c r="Q29" s="3" t="s">
        <v>32</v>
      </c>
      <c r="R29" s="3" t="s">
        <v>33</v>
      </c>
      <c r="S29" s="4"/>
    </row>
    <row r="30" spans="1:19" ht="17.45">
      <c r="A30" s="3">
        <f>SUBTOTAL(103,$B$4:B30)</f>
        <v>27</v>
      </c>
      <c r="B30" s="8">
        <v>530668</v>
      </c>
      <c r="C30" s="5" t="s">
        <v>108</v>
      </c>
      <c r="D30" s="4" t="s">
        <v>35</v>
      </c>
      <c r="E30" s="4" t="s">
        <v>25</v>
      </c>
      <c r="F30" s="30">
        <v>44801</v>
      </c>
      <c r="G30" s="19" t="s">
        <v>26</v>
      </c>
      <c r="H30" s="19" t="str">
        <f t="shared" ca="1" si="0"/>
        <v>3 Years, 9 Months, 6 Days</v>
      </c>
      <c r="I30" s="4" t="s">
        <v>109</v>
      </c>
      <c r="J30" s="4" t="s">
        <v>28</v>
      </c>
      <c r="K30" s="6">
        <v>1922039756</v>
      </c>
      <c r="L30" s="6">
        <v>1329645717</v>
      </c>
      <c r="M30" s="9">
        <v>518524</v>
      </c>
      <c r="N30" s="4" t="s">
        <v>105</v>
      </c>
      <c r="O30" s="4" t="s">
        <v>106</v>
      </c>
      <c r="P30" s="4" t="s">
        <v>107</v>
      </c>
      <c r="Q30" s="3" t="s">
        <v>32</v>
      </c>
      <c r="R30" s="3" t="s">
        <v>33</v>
      </c>
      <c r="S30" s="4"/>
    </row>
    <row r="31" spans="1:19" ht="17.45">
      <c r="A31" s="3">
        <f>SUBTOTAL(103,$B$4:B31)</f>
        <v>28</v>
      </c>
      <c r="B31" s="8">
        <v>540031</v>
      </c>
      <c r="C31" s="5" t="s">
        <v>110</v>
      </c>
      <c r="D31" s="4" t="s">
        <v>35</v>
      </c>
      <c r="E31" s="4" t="s">
        <v>25</v>
      </c>
      <c r="F31" s="30">
        <v>45245</v>
      </c>
      <c r="G31" s="19" t="s">
        <v>26</v>
      </c>
      <c r="H31" s="19" t="str">
        <f t="shared" ca="1" si="0"/>
        <v>2 Years, 6 Months, 19 Days</v>
      </c>
      <c r="I31" s="4" t="s">
        <v>111</v>
      </c>
      <c r="J31" s="4" t="s">
        <v>28</v>
      </c>
      <c r="K31" s="6">
        <v>1670497480</v>
      </c>
      <c r="L31" s="6">
        <v>1329645731</v>
      </c>
      <c r="M31" s="9">
        <v>518524</v>
      </c>
      <c r="N31" s="4" t="s">
        <v>105</v>
      </c>
      <c r="O31" s="4" t="s">
        <v>106</v>
      </c>
      <c r="P31" s="4" t="s">
        <v>107</v>
      </c>
      <c r="Q31" s="3" t="s">
        <v>32</v>
      </c>
      <c r="R31" s="3" t="s">
        <v>33</v>
      </c>
      <c r="S31" s="4"/>
    </row>
    <row r="32" spans="1:19" ht="17.45">
      <c r="A32" s="3">
        <f>SUBTOTAL(103,$B$4:B32)</f>
        <v>29</v>
      </c>
      <c r="B32" s="8">
        <v>530666</v>
      </c>
      <c r="C32" s="5" t="s">
        <v>112</v>
      </c>
      <c r="D32" s="4" t="s">
        <v>24</v>
      </c>
      <c r="E32" s="4" t="s">
        <v>25</v>
      </c>
      <c r="F32" s="30">
        <v>44801</v>
      </c>
      <c r="G32" s="19" t="s">
        <v>113</v>
      </c>
      <c r="H32" s="19" t="str">
        <f t="shared" ca="1" si="0"/>
        <v>3 Years, 9 Months, 6 Days</v>
      </c>
      <c r="I32" s="4" t="s">
        <v>114</v>
      </c>
      <c r="J32" s="4" t="s">
        <v>115</v>
      </c>
      <c r="K32" s="6">
        <v>1924734192</v>
      </c>
      <c r="L32" s="6">
        <v>1329645708</v>
      </c>
      <c r="M32" s="9">
        <v>518524</v>
      </c>
      <c r="N32" s="4" t="s">
        <v>105</v>
      </c>
      <c r="O32" s="4" t="s">
        <v>106</v>
      </c>
      <c r="P32" s="4" t="s">
        <v>107</v>
      </c>
      <c r="Q32" s="3" t="s">
        <v>32</v>
      </c>
      <c r="R32" s="3" t="s">
        <v>33</v>
      </c>
      <c r="S32" s="4"/>
    </row>
    <row r="33" spans="1:19" ht="17.45">
      <c r="A33" s="3">
        <f>SUBTOTAL(103,$B$4:B33)</f>
        <v>30</v>
      </c>
      <c r="B33" s="8">
        <v>530667</v>
      </c>
      <c r="C33" s="5" t="s">
        <v>116</v>
      </c>
      <c r="D33" s="4" t="s">
        <v>35</v>
      </c>
      <c r="E33" s="4" t="s">
        <v>25</v>
      </c>
      <c r="F33" s="30">
        <v>44801</v>
      </c>
      <c r="G33" s="19" t="s">
        <v>56</v>
      </c>
      <c r="H33" s="19" t="str">
        <f t="shared" ca="1" si="0"/>
        <v>3 Years, 9 Months, 6 Days</v>
      </c>
      <c r="I33" s="4" t="s">
        <v>117</v>
      </c>
      <c r="J33" s="4" t="s">
        <v>58</v>
      </c>
      <c r="K33" s="6">
        <v>1749501798</v>
      </c>
      <c r="L33" s="6">
        <v>1324762643</v>
      </c>
      <c r="M33" s="9">
        <v>518524</v>
      </c>
      <c r="N33" s="4" t="s">
        <v>105</v>
      </c>
      <c r="O33" s="4" t="s">
        <v>106</v>
      </c>
      <c r="P33" s="4" t="s">
        <v>107</v>
      </c>
      <c r="Q33" s="3" t="s">
        <v>32</v>
      </c>
      <c r="R33" s="3" t="s">
        <v>33</v>
      </c>
      <c r="S33" s="4"/>
    </row>
    <row r="34" spans="1:19" ht="17.45">
      <c r="A34" s="3">
        <f>SUBTOTAL(103,$B$4:B34)</f>
        <v>31</v>
      </c>
      <c r="B34" s="8">
        <v>178820</v>
      </c>
      <c r="C34" s="5" t="s">
        <v>118</v>
      </c>
      <c r="D34" s="4" t="s">
        <v>48</v>
      </c>
      <c r="E34" s="4" t="s">
        <v>25</v>
      </c>
      <c r="F34" s="30">
        <v>42078</v>
      </c>
      <c r="G34" s="19" t="s">
        <v>26</v>
      </c>
      <c r="H34" s="19" t="str">
        <f t="shared" ca="1" si="0"/>
        <v>11 Years, 2 Months, 19 Days</v>
      </c>
      <c r="I34" s="4" t="s">
        <v>119</v>
      </c>
      <c r="J34" s="4" t="s">
        <v>28</v>
      </c>
      <c r="K34" s="6">
        <v>1710116002</v>
      </c>
      <c r="L34" s="6">
        <v>1755516494</v>
      </c>
      <c r="M34" s="9">
        <v>525837</v>
      </c>
      <c r="N34" s="4" t="s">
        <v>120</v>
      </c>
      <c r="O34" s="4" t="s">
        <v>121</v>
      </c>
      <c r="P34" s="4" t="s">
        <v>122</v>
      </c>
      <c r="Q34" s="3" t="s">
        <v>32</v>
      </c>
      <c r="R34" s="3" t="s">
        <v>33</v>
      </c>
      <c r="S34" s="4"/>
    </row>
    <row r="35" spans="1:19" ht="17.45">
      <c r="A35" s="3">
        <f>SUBTOTAL(103,$B$4:B35)</f>
        <v>32</v>
      </c>
      <c r="B35" s="8">
        <v>378038</v>
      </c>
      <c r="C35" s="5" t="s">
        <v>93</v>
      </c>
      <c r="D35" s="4" t="s">
        <v>94</v>
      </c>
      <c r="E35" s="4" t="s">
        <v>25</v>
      </c>
      <c r="F35" s="30">
        <v>43283</v>
      </c>
      <c r="G35" s="19" t="s">
        <v>26</v>
      </c>
      <c r="H35" s="19" t="str">
        <f t="shared" ca="1" si="0"/>
        <v>7 Years, 11 Months, 1 Days</v>
      </c>
      <c r="I35" s="4" t="s">
        <v>95</v>
      </c>
      <c r="J35" s="4" t="s">
        <v>28</v>
      </c>
      <c r="K35" s="6">
        <v>1710083090</v>
      </c>
      <c r="L35" s="6">
        <v>1713020596</v>
      </c>
      <c r="M35" s="9">
        <v>525837</v>
      </c>
      <c r="N35" s="4" t="s">
        <v>120</v>
      </c>
      <c r="O35" s="4" t="s">
        <v>121</v>
      </c>
      <c r="P35" s="4" t="s">
        <v>122</v>
      </c>
      <c r="Q35" s="3" t="s">
        <v>123</v>
      </c>
      <c r="R35" s="3" t="s">
        <v>124</v>
      </c>
      <c r="S35" s="4" t="s">
        <v>25</v>
      </c>
    </row>
    <row r="36" spans="1:19" ht="17.45">
      <c r="A36" s="3">
        <f>SUBTOTAL(103,$B$4:B36)</f>
        <v>33</v>
      </c>
      <c r="B36" s="8">
        <v>518524</v>
      </c>
      <c r="C36" s="5" t="s">
        <v>105</v>
      </c>
      <c r="D36" s="4" t="s">
        <v>106</v>
      </c>
      <c r="E36" s="4" t="s">
        <v>25</v>
      </c>
      <c r="F36" s="30">
        <v>44298</v>
      </c>
      <c r="G36" s="19" t="s">
        <v>26</v>
      </c>
      <c r="H36" s="19" t="str">
        <f t="shared" ca="1" si="0"/>
        <v>5 Years, 1 Months, 22 Days</v>
      </c>
      <c r="I36" s="4" t="s">
        <v>107</v>
      </c>
      <c r="J36" s="4" t="s">
        <v>28</v>
      </c>
      <c r="K36" s="6">
        <v>1708144555</v>
      </c>
      <c r="L36" s="6">
        <v>1777743533</v>
      </c>
      <c r="M36" s="9">
        <v>525837</v>
      </c>
      <c r="N36" s="4" t="s">
        <v>120</v>
      </c>
      <c r="O36" s="4" t="s">
        <v>121</v>
      </c>
      <c r="P36" s="4" t="s">
        <v>122</v>
      </c>
      <c r="Q36" s="3" t="s">
        <v>123</v>
      </c>
      <c r="R36" s="3" t="s">
        <v>124</v>
      </c>
      <c r="S36" s="4" t="s">
        <v>125</v>
      </c>
    </row>
    <row r="37" spans="1:19" ht="17.45">
      <c r="A37" s="3">
        <f>SUBTOTAL(103,$B$4:B37)</f>
        <v>34</v>
      </c>
      <c r="B37" s="8">
        <v>542041</v>
      </c>
      <c r="C37" s="5" t="s">
        <v>126</v>
      </c>
      <c r="D37" s="4" t="s">
        <v>24</v>
      </c>
      <c r="E37" s="4" t="s">
        <v>25</v>
      </c>
      <c r="F37" s="30">
        <v>45362</v>
      </c>
      <c r="G37" s="19" t="s">
        <v>26</v>
      </c>
      <c r="H37" s="19" t="str">
        <f t="shared" ca="1" si="0"/>
        <v>2 Years, 2 Months, 23 Days</v>
      </c>
      <c r="I37" s="4" t="s">
        <v>127</v>
      </c>
      <c r="J37" s="4" t="s">
        <v>28</v>
      </c>
      <c r="K37" s="6">
        <v>1717456165</v>
      </c>
      <c r="L37" s="6">
        <v>1334762300</v>
      </c>
      <c r="M37" s="9">
        <v>525837</v>
      </c>
      <c r="N37" s="4" t="s">
        <v>120</v>
      </c>
      <c r="O37" s="4" t="s">
        <v>121</v>
      </c>
      <c r="P37" s="4" t="s">
        <v>122</v>
      </c>
      <c r="Q37" s="3" t="s">
        <v>32</v>
      </c>
      <c r="R37" s="3" t="s">
        <v>33</v>
      </c>
      <c r="S37" s="4"/>
    </row>
    <row r="38" spans="1:19" ht="17.45">
      <c r="A38" s="3">
        <f>SUBTOTAL(103,$B$4:B38)</f>
        <v>35</v>
      </c>
      <c r="B38" s="8">
        <v>558064</v>
      </c>
      <c r="C38" s="5" t="s">
        <v>128</v>
      </c>
      <c r="D38" s="4" t="s">
        <v>129</v>
      </c>
      <c r="E38" s="4" t="s">
        <v>25</v>
      </c>
      <c r="F38" s="30">
        <v>45939</v>
      </c>
      <c r="G38" s="19" t="s">
        <v>26</v>
      </c>
      <c r="H38" s="19" t="str">
        <f t="shared" ca="1" si="0"/>
        <v>0 Years, 7 Months, 25 Days</v>
      </c>
      <c r="I38" s="4" t="s">
        <v>130</v>
      </c>
      <c r="J38" s="4" t="s">
        <v>28</v>
      </c>
      <c r="K38" s="6">
        <v>1710377727</v>
      </c>
      <c r="L38" s="6" t="s">
        <v>42</v>
      </c>
      <c r="M38" s="9">
        <v>525837</v>
      </c>
      <c r="N38" s="4" t="s">
        <v>120</v>
      </c>
      <c r="O38" s="4" t="s">
        <v>121</v>
      </c>
      <c r="P38" s="4" t="s">
        <v>122</v>
      </c>
      <c r="Q38" s="3" t="s">
        <v>123</v>
      </c>
      <c r="R38" s="3" t="s">
        <v>124</v>
      </c>
      <c r="S38" s="4" t="s">
        <v>131</v>
      </c>
    </row>
    <row r="39" spans="1:19" ht="17.45">
      <c r="A39" s="3">
        <f>SUBTOTAL(103,$B$4:B39)</f>
        <v>36</v>
      </c>
      <c r="B39" s="8">
        <v>530560</v>
      </c>
      <c r="C39" s="5" t="s">
        <v>132</v>
      </c>
      <c r="D39" s="4" t="s">
        <v>48</v>
      </c>
      <c r="E39" s="4" t="s">
        <v>25</v>
      </c>
      <c r="F39" s="30">
        <v>44794</v>
      </c>
      <c r="G39" s="19" t="s">
        <v>113</v>
      </c>
      <c r="H39" s="19" t="str">
        <f t="shared" ca="1" si="0"/>
        <v>3 Years, 9 Months, 13 Days</v>
      </c>
      <c r="I39" s="4" t="s">
        <v>133</v>
      </c>
      <c r="J39" s="4" t="s">
        <v>115</v>
      </c>
      <c r="K39" s="6">
        <v>1950653844</v>
      </c>
      <c r="L39" s="6">
        <v>1324762641</v>
      </c>
      <c r="M39" s="9">
        <v>525837</v>
      </c>
      <c r="N39" s="4" t="s">
        <v>120</v>
      </c>
      <c r="O39" s="4" t="s">
        <v>121</v>
      </c>
      <c r="P39" s="4" t="s">
        <v>122</v>
      </c>
      <c r="Q39" s="3" t="s">
        <v>32</v>
      </c>
      <c r="R39" s="3" t="s">
        <v>33</v>
      </c>
      <c r="S39" s="4"/>
    </row>
    <row r="40" spans="1:19" ht="17.45">
      <c r="A40" s="3">
        <f>SUBTOTAL(103,$B$4:B40)</f>
        <v>37</v>
      </c>
      <c r="B40" s="8">
        <v>559490</v>
      </c>
      <c r="C40" s="5" t="s">
        <v>134</v>
      </c>
      <c r="D40" s="4" t="s">
        <v>61</v>
      </c>
      <c r="E40" s="4" t="s">
        <v>25</v>
      </c>
      <c r="F40" s="30">
        <v>45980</v>
      </c>
      <c r="G40" s="19" t="s">
        <v>135</v>
      </c>
      <c r="H40" s="19" t="str">
        <f t="shared" ca="1" si="0"/>
        <v>0 Years, 6 Months, 15 Days</v>
      </c>
      <c r="I40" s="4" t="s">
        <v>136</v>
      </c>
      <c r="J40" s="4" t="s">
        <v>137</v>
      </c>
      <c r="K40" s="6">
        <v>1918966483</v>
      </c>
      <c r="L40" s="6" t="s">
        <v>42</v>
      </c>
      <c r="M40" s="9">
        <v>525837</v>
      </c>
      <c r="N40" s="4" t="s">
        <v>120</v>
      </c>
      <c r="O40" s="4" t="s">
        <v>121</v>
      </c>
      <c r="P40" s="4" t="s">
        <v>122</v>
      </c>
      <c r="Q40" s="3" t="s">
        <v>32</v>
      </c>
      <c r="R40" s="3" t="s">
        <v>33</v>
      </c>
      <c r="S40" s="4"/>
    </row>
    <row r="41" spans="1:19" ht="17.45">
      <c r="A41" s="3">
        <f>SUBTOTAL(103,$B$4:B41)</f>
        <v>38</v>
      </c>
      <c r="B41" s="8">
        <v>111353</v>
      </c>
      <c r="C41" s="5" t="s">
        <v>138</v>
      </c>
      <c r="D41" s="4" t="s">
        <v>24</v>
      </c>
      <c r="E41" s="4" t="s">
        <v>25</v>
      </c>
      <c r="F41" s="30">
        <v>41700</v>
      </c>
      <c r="G41" s="19" t="s">
        <v>26</v>
      </c>
      <c r="H41" s="19" t="str">
        <f t="shared" ca="1" si="0"/>
        <v>12 Years, 3 Months, 1 Days</v>
      </c>
      <c r="I41" s="4" t="s">
        <v>139</v>
      </c>
      <c r="J41" s="4" t="s">
        <v>28</v>
      </c>
      <c r="K41" s="6">
        <v>1818993928</v>
      </c>
      <c r="L41" s="6">
        <v>1755524949</v>
      </c>
      <c r="M41" s="14">
        <v>525837</v>
      </c>
      <c r="N41" s="18" t="s">
        <v>120</v>
      </c>
      <c r="O41" s="4" t="s">
        <v>121</v>
      </c>
      <c r="P41" s="18" t="s">
        <v>122</v>
      </c>
      <c r="Q41" s="3" t="s">
        <v>32</v>
      </c>
      <c r="R41" s="3" t="s">
        <v>33</v>
      </c>
      <c r="S41" s="4"/>
    </row>
    <row r="42" spans="1:19" ht="17.45">
      <c r="A42" s="3">
        <f>SUBTOTAL(103,$B$4:B42)</f>
        <v>39</v>
      </c>
      <c r="B42" s="8">
        <v>551561</v>
      </c>
      <c r="C42" s="5" t="s">
        <v>140</v>
      </c>
      <c r="D42" s="4" t="s">
        <v>61</v>
      </c>
      <c r="E42" s="4" t="s">
        <v>25</v>
      </c>
      <c r="F42" s="30">
        <v>45725</v>
      </c>
      <c r="G42" s="19" t="s">
        <v>135</v>
      </c>
      <c r="H42" s="19" t="str">
        <f t="shared" ca="1" si="0"/>
        <v>1 Years, 2 Months, 25 Days</v>
      </c>
      <c r="I42" s="16" t="s">
        <v>141</v>
      </c>
      <c r="J42" s="4" t="s">
        <v>137</v>
      </c>
      <c r="K42" s="6" t="s">
        <v>142</v>
      </c>
      <c r="L42" s="6"/>
      <c r="M42" s="9">
        <v>525837</v>
      </c>
      <c r="N42" s="4" t="s">
        <v>120</v>
      </c>
      <c r="O42" s="4" t="s">
        <v>121</v>
      </c>
      <c r="P42" s="4" t="s">
        <v>122</v>
      </c>
      <c r="Q42" s="3" t="s">
        <v>32</v>
      </c>
      <c r="R42" s="3" t="s">
        <v>33</v>
      </c>
      <c r="S42" s="4"/>
    </row>
    <row r="43" spans="1:19" ht="17.45">
      <c r="A43" s="3">
        <f>SUBTOTAL(103,$B$4:B43)</f>
        <v>40</v>
      </c>
      <c r="B43" s="8">
        <v>466280</v>
      </c>
      <c r="C43" s="5" t="s">
        <v>143</v>
      </c>
      <c r="D43" s="4" t="s">
        <v>24</v>
      </c>
      <c r="E43" s="4" t="s">
        <v>25</v>
      </c>
      <c r="F43" s="30">
        <v>43781</v>
      </c>
      <c r="G43" s="19" t="s">
        <v>144</v>
      </c>
      <c r="H43" s="19" t="str">
        <f t="shared" ca="1" si="0"/>
        <v>6 Years, 6 Months, 22 Days</v>
      </c>
      <c r="I43" s="4" t="s">
        <v>145</v>
      </c>
      <c r="J43" s="4" t="s">
        <v>146</v>
      </c>
      <c r="K43" s="6">
        <v>1722308908</v>
      </c>
      <c r="L43" s="6">
        <v>1713020613</v>
      </c>
      <c r="M43" s="9">
        <v>550334</v>
      </c>
      <c r="N43" s="4" t="s">
        <v>147</v>
      </c>
      <c r="O43" s="4" t="s">
        <v>30</v>
      </c>
      <c r="P43" s="4" t="s">
        <v>148</v>
      </c>
      <c r="Q43" s="3" t="s">
        <v>32</v>
      </c>
      <c r="R43" s="3" t="s">
        <v>33</v>
      </c>
      <c r="S43" s="4"/>
    </row>
    <row r="44" spans="1:19" ht="17.45">
      <c r="A44" s="3">
        <f>SUBTOTAL(103,$B$4:B44)</f>
        <v>41</v>
      </c>
      <c r="B44" s="8">
        <v>531437</v>
      </c>
      <c r="C44" s="5" t="s">
        <v>149</v>
      </c>
      <c r="D44" s="4" t="s">
        <v>35</v>
      </c>
      <c r="E44" s="4" t="s">
        <v>25</v>
      </c>
      <c r="F44" s="30">
        <v>44853</v>
      </c>
      <c r="G44" s="19" t="s">
        <v>144</v>
      </c>
      <c r="H44" s="19" t="str">
        <f t="shared" ca="1" si="0"/>
        <v>3 Years, 7 Months, 15 Days</v>
      </c>
      <c r="I44" s="4" t="s">
        <v>150</v>
      </c>
      <c r="J44" s="4" t="s">
        <v>146</v>
      </c>
      <c r="K44" s="6">
        <v>1799334342</v>
      </c>
      <c r="L44" s="6">
        <v>1324762635</v>
      </c>
      <c r="M44" s="9">
        <v>550334</v>
      </c>
      <c r="N44" s="4" t="s">
        <v>147</v>
      </c>
      <c r="O44" s="4" t="s">
        <v>30</v>
      </c>
      <c r="P44" s="4" t="s">
        <v>148</v>
      </c>
      <c r="Q44" s="3" t="s">
        <v>32</v>
      </c>
      <c r="R44" s="3" t="s">
        <v>33</v>
      </c>
      <c r="S44" s="4"/>
    </row>
    <row r="45" spans="1:19" ht="17.45">
      <c r="A45" s="3">
        <f>SUBTOTAL(103,$B$4:B45)</f>
        <v>42</v>
      </c>
      <c r="B45" s="8">
        <v>544485</v>
      </c>
      <c r="C45" s="5" t="s">
        <v>151</v>
      </c>
      <c r="D45" s="4" t="s">
        <v>35</v>
      </c>
      <c r="E45" s="4" t="s">
        <v>25</v>
      </c>
      <c r="F45" s="30">
        <v>45501</v>
      </c>
      <c r="G45" s="19" t="s">
        <v>152</v>
      </c>
      <c r="H45" s="19" t="str">
        <f t="shared" ca="1" si="0"/>
        <v>1 Years, 10 Months, 6 Days</v>
      </c>
      <c r="I45" s="4" t="s">
        <v>153</v>
      </c>
      <c r="J45" s="4" t="s">
        <v>154</v>
      </c>
      <c r="K45" s="6">
        <v>1770490476</v>
      </c>
      <c r="L45" s="6" t="s">
        <v>42</v>
      </c>
      <c r="M45" s="9">
        <v>550334</v>
      </c>
      <c r="N45" s="4" t="s">
        <v>147</v>
      </c>
      <c r="O45" s="4" t="s">
        <v>30</v>
      </c>
      <c r="P45" s="4" t="s">
        <v>148</v>
      </c>
      <c r="Q45" s="3" t="s">
        <v>32</v>
      </c>
      <c r="R45" s="3" t="s">
        <v>33</v>
      </c>
      <c r="S45" s="4"/>
    </row>
    <row r="46" spans="1:19" ht="17.45">
      <c r="A46" s="3">
        <f>SUBTOTAL(103,$B$4:B46)</f>
        <v>43</v>
      </c>
      <c r="B46" s="8">
        <v>538180</v>
      </c>
      <c r="C46" s="5" t="s">
        <v>155</v>
      </c>
      <c r="D46" s="4" t="s">
        <v>48</v>
      </c>
      <c r="E46" s="4" t="s">
        <v>25</v>
      </c>
      <c r="F46" s="30">
        <v>45139</v>
      </c>
      <c r="G46" s="19" t="s">
        <v>156</v>
      </c>
      <c r="H46" s="19" t="str">
        <f t="shared" ca="1" si="0"/>
        <v>2 Years, 10 Months, 2 Days</v>
      </c>
      <c r="I46" s="4" t="s">
        <v>157</v>
      </c>
      <c r="J46" s="4" t="s">
        <v>158</v>
      </c>
      <c r="K46" s="6">
        <v>1840367406</v>
      </c>
      <c r="L46" s="6">
        <v>1787689689</v>
      </c>
      <c r="M46" s="9">
        <v>550334</v>
      </c>
      <c r="N46" s="4" t="s">
        <v>147</v>
      </c>
      <c r="O46" s="4" t="s">
        <v>30</v>
      </c>
      <c r="P46" s="4" t="s">
        <v>148</v>
      </c>
      <c r="Q46" s="3" t="s">
        <v>32</v>
      </c>
      <c r="R46" s="3" t="s">
        <v>33</v>
      </c>
      <c r="S46" s="4"/>
    </row>
    <row r="47" spans="1:19" ht="17.45">
      <c r="A47" s="3">
        <f>SUBTOTAL(103,$B$4:B47)</f>
        <v>44</v>
      </c>
      <c r="B47" s="8">
        <v>544486</v>
      </c>
      <c r="C47" s="5" t="s">
        <v>159</v>
      </c>
      <c r="D47" s="4" t="s">
        <v>35</v>
      </c>
      <c r="E47" s="4" t="s">
        <v>25</v>
      </c>
      <c r="F47" s="30">
        <v>45501</v>
      </c>
      <c r="G47" s="19" t="s">
        <v>156</v>
      </c>
      <c r="H47" s="19" t="str">
        <f t="shared" ca="1" si="0"/>
        <v>1 Years, 10 Months, 6 Days</v>
      </c>
      <c r="I47" s="4" t="s">
        <v>160</v>
      </c>
      <c r="J47" s="4" t="s">
        <v>158</v>
      </c>
      <c r="K47" s="6">
        <v>1521475615</v>
      </c>
      <c r="L47" s="6" t="s">
        <v>42</v>
      </c>
      <c r="M47" s="9">
        <v>550334</v>
      </c>
      <c r="N47" s="4" t="s">
        <v>147</v>
      </c>
      <c r="O47" s="4" t="s">
        <v>30</v>
      </c>
      <c r="P47" s="4" t="s">
        <v>148</v>
      </c>
      <c r="Q47" s="3" t="s">
        <v>32</v>
      </c>
      <c r="R47" s="3" t="s">
        <v>33</v>
      </c>
      <c r="S47" s="4"/>
    </row>
    <row r="48" spans="1:19" ht="17.45">
      <c r="A48" s="3">
        <f>SUBTOTAL(103,$B$4:B48)</f>
        <v>45</v>
      </c>
      <c r="B48" s="8">
        <v>530289</v>
      </c>
      <c r="C48" s="5" t="s">
        <v>161</v>
      </c>
      <c r="D48" s="4" t="s">
        <v>48</v>
      </c>
      <c r="E48" s="4" t="s">
        <v>25</v>
      </c>
      <c r="F48" s="30">
        <v>44783</v>
      </c>
      <c r="G48" s="19" t="s">
        <v>162</v>
      </c>
      <c r="H48" s="19" t="str">
        <f t="shared" ca="1" si="0"/>
        <v>3 Years, 9 Months, 24 Days</v>
      </c>
      <c r="I48" s="4" t="s">
        <v>163</v>
      </c>
      <c r="J48" s="4" t="s">
        <v>164</v>
      </c>
      <c r="K48" s="6">
        <v>1763258919</v>
      </c>
      <c r="L48" s="6">
        <v>1324762621</v>
      </c>
      <c r="M48" s="9">
        <v>550334</v>
      </c>
      <c r="N48" s="4" t="s">
        <v>147</v>
      </c>
      <c r="O48" s="4" t="s">
        <v>30</v>
      </c>
      <c r="P48" s="4" t="s">
        <v>148</v>
      </c>
      <c r="Q48" s="3" t="s">
        <v>32</v>
      </c>
      <c r="R48" s="3" t="s">
        <v>33</v>
      </c>
      <c r="S48" s="4"/>
    </row>
    <row r="49" spans="1:19" ht="17.45">
      <c r="A49" s="3">
        <f>SUBTOTAL(103,$B$4:B49)</f>
        <v>46</v>
      </c>
      <c r="B49" s="8">
        <v>562878</v>
      </c>
      <c r="C49" s="5" t="s">
        <v>165</v>
      </c>
      <c r="D49" s="4" t="s">
        <v>24</v>
      </c>
      <c r="E49" s="4" t="s">
        <v>25</v>
      </c>
      <c r="F49" s="30">
        <v>46079</v>
      </c>
      <c r="G49" s="19" t="s">
        <v>166</v>
      </c>
      <c r="H49" s="19" t="str">
        <f t="shared" ca="1" si="0"/>
        <v>0 Years, 3 Months, 8 Days</v>
      </c>
      <c r="I49" s="4" t="s">
        <v>167</v>
      </c>
      <c r="J49" s="4" t="s">
        <v>168</v>
      </c>
      <c r="K49" s="6" t="s">
        <v>169</v>
      </c>
      <c r="L49" s="6"/>
      <c r="M49" s="9">
        <v>550334</v>
      </c>
      <c r="N49" s="4" t="s">
        <v>147</v>
      </c>
      <c r="O49" s="4" t="s">
        <v>30</v>
      </c>
      <c r="P49" s="4" t="s">
        <v>148</v>
      </c>
      <c r="Q49" s="3" t="s">
        <v>32</v>
      </c>
      <c r="R49" s="3" t="s">
        <v>33</v>
      </c>
      <c r="S49" s="4"/>
    </row>
    <row r="50" spans="1:19" ht="17.45">
      <c r="A50" s="3">
        <f>SUBTOTAL(103,$B$4:B50)</f>
        <v>47</v>
      </c>
      <c r="B50" s="8">
        <v>563505</v>
      </c>
      <c r="C50" s="5" t="s">
        <v>170</v>
      </c>
      <c r="D50" s="4" t="s">
        <v>48</v>
      </c>
      <c r="E50" s="4" t="s">
        <v>25</v>
      </c>
      <c r="F50" s="30">
        <v>46113</v>
      </c>
      <c r="G50" s="19" t="s">
        <v>171</v>
      </c>
      <c r="H50" s="19" t="str">
        <f t="shared" ca="1" si="0"/>
        <v>0 Years, 2 Months, 2 Days</v>
      </c>
      <c r="I50" s="4" t="s">
        <v>172</v>
      </c>
      <c r="J50" s="4" t="s">
        <v>173</v>
      </c>
      <c r="K50" s="6" t="s">
        <v>174</v>
      </c>
      <c r="L50" s="6"/>
      <c r="M50" s="9">
        <v>550334</v>
      </c>
      <c r="N50" s="4" t="s">
        <v>147</v>
      </c>
      <c r="O50" s="4" t="s">
        <v>30</v>
      </c>
      <c r="P50" s="4" t="s">
        <v>148</v>
      </c>
      <c r="Q50" s="3" t="s">
        <v>32</v>
      </c>
      <c r="R50" s="3" t="s">
        <v>33</v>
      </c>
      <c r="S50" s="4"/>
    </row>
    <row r="51" spans="1:19" ht="17.45">
      <c r="A51" s="3">
        <f>SUBTOTAL(103,$B$4:B51)</f>
        <v>48</v>
      </c>
      <c r="B51" s="8">
        <v>1040</v>
      </c>
      <c r="C51" s="5" t="s">
        <v>29</v>
      </c>
      <c r="D51" s="4" t="s">
        <v>30</v>
      </c>
      <c r="E51" s="4" t="s">
        <v>25</v>
      </c>
      <c r="F51" s="30">
        <v>40483</v>
      </c>
      <c r="G51" s="19" t="s">
        <v>26</v>
      </c>
      <c r="H51" s="19" t="str">
        <f t="shared" ca="1" si="0"/>
        <v>15 Years, 7 Months, 2 Days</v>
      </c>
      <c r="I51" s="4" t="s">
        <v>31</v>
      </c>
      <c r="J51" s="4" t="e">
        <v>#N/A</v>
      </c>
      <c r="K51" s="6">
        <v>1911450118</v>
      </c>
      <c r="L51" s="6">
        <v>1713020618</v>
      </c>
      <c r="M51" s="9">
        <v>558064</v>
      </c>
      <c r="N51" s="4" t="s">
        <v>128</v>
      </c>
      <c r="O51" s="4" t="s">
        <v>129</v>
      </c>
      <c r="P51" s="4" t="s">
        <v>130</v>
      </c>
      <c r="Q51" s="3" t="s">
        <v>32</v>
      </c>
      <c r="R51" s="3" t="s">
        <v>33</v>
      </c>
      <c r="S51" s="4"/>
    </row>
    <row r="52" spans="1:19" ht="17.45">
      <c r="A52" s="3">
        <f>SUBTOTAL(103,$B$4:B52)</f>
        <v>49</v>
      </c>
      <c r="B52" s="8">
        <v>1041</v>
      </c>
      <c r="C52" s="5" t="s">
        <v>60</v>
      </c>
      <c r="D52" s="4" t="s">
        <v>61</v>
      </c>
      <c r="E52" s="4" t="s">
        <v>25</v>
      </c>
      <c r="F52" s="30">
        <v>40560</v>
      </c>
      <c r="G52" s="19" t="s">
        <v>26</v>
      </c>
      <c r="H52" s="19" t="str">
        <f t="shared" ca="1" si="0"/>
        <v>15 Years, 4 Months, 17 Days</v>
      </c>
      <c r="I52" s="4" t="s">
        <v>62</v>
      </c>
      <c r="J52" s="4" t="s">
        <v>28</v>
      </c>
      <c r="K52" s="6">
        <v>1930693428</v>
      </c>
      <c r="L52" s="6"/>
      <c r="M52" s="9">
        <v>558064</v>
      </c>
      <c r="N52" s="4" t="s">
        <v>128</v>
      </c>
      <c r="O52" s="4" t="s">
        <v>129</v>
      </c>
      <c r="P52" s="4" t="s">
        <v>130</v>
      </c>
      <c r="Q52" s="3" t="s">
        <v>32</v>
      </c>
      <c r="R52" s="3" t="s">
        <v>33</v>
      </c>
      <c r="S52" s="4"/>
    </row>
    <row r="53" spans="1:19" ht="17.45">
      <c r="A53" s="3">
        <f>SUBTOTAL(103,$B$4:B53)</f>
        <v>50</v>
      </c>
      <c r="B53" s="8">
        <v>377766</v>
      </c>
      <c r="C53" s="5" t="s">
        <v>68</v>
      </c>
      <c r="D53" s="4" t="s">
        <v>30</v>
      </c>
      <c r="E53" s="4" t="s">
        <v>25</v>
      </c>
      <c r="F53" s="30">
        <v>43282</v>
      </c>
      <c r="G53" s="19" t="s">
        <v>26</v>
      </c>
      <c r="H53" s="19" t="str">
        <f t="shared" ca="1" si="0"/>
        <v>7 Years, 11 Months, 2 Days</v>
      </c>
      <c r="I53" s="4" t="s">
        <v>69</v>
      </c>
      <c r="J53" s="4" t="s">
        <v>28</v>
      </c>
      <c r="K53" s="6">
        <v>1911329579</v>
      </c>
      <c r="L53" s="6">
        <v>1777743423</v>
      </c>
      <c r="M53" s="9">
        <v>558064</v>
      </c>
      <c r="N53" s="4" t="s">
        <v>128</v>
      </c>
      <c r="O53" s="4" t="s">
        <v>129</v>
      </c>
      <c r="P53" s="4" t="s">
        <v>130</v>
      </c>
      <c r="Q53" s="3" t="s">
        <v>32</v>
      </c>
      <c r="R53" s="3" t="s">
        <v>33</v>
      </c>
      <c r="S53" s="4"/>
    </row>
    <row r="54" spans="1:19" ht="17.45">
      <c r="A54" s="3">
        <f>SUBTOTAL(103,$B$4:B54)</f>
        <v>51</v>
      </c>
      <c r="B54" s="8">
        <v>525837</v>
      </c>
      <c r="C54" s="5" t="s">
        <v>120</v>
      </c>
      <c r="D54" s="4" t="s">
        <v>121</v>
      </c>
      <c r="E54" s="4" t="s">
        <v>25</v>
      </c>
      <c r="F54" s="30">
        <v>44621</v>
      </c>
      <c r="G54" s="19" t="s">
        <v>26</v>
      </c>
      <c r="H54" s="19" t="str">
        <f t="shared" ca="1" si="0"/>
        <v>4 Years, 3 Months, 2 Days</v>
      </c>
      <c r="I54" s="4" t="s">
        <v>122</v>
      </c>
      <c r="J54" s="4" t="s">
        <v>28</v>
      </c>
      <c r="K54" s="6">
        <v>1777717995</v>
      </c>
      <c r="L54" s="6">
        <v>1777717995</v>
      </c>
      <c r="M54" s="9"/>
      <c r="N54" s="4" t="s">
        <v>175</v>
      </c>
      <c r="O54" s="4" t="s">
        <v>175</v>
      </c>
      <c r="P54" s="4" t="s">
        <v>175</v>
      </c>
      <c r="Q54" s="3" t="s">
        <v>123</v>
      </c>
      <c r="R54" s="3" t="s">
        <v>124</v>
      </c>
      <c r="S54" s="4" t="s">
        <v>176</v>
      </c>
    </row>
    <row r="55" spans="1:19" ht="17.45">
      <c r="A55" s="3">
        <f>SUBTOTAL(103,$B$4:B55)</f>
        <v>52</v>
      </c>
      <c r="B55" s="8">
        <v>511134</v>
      </c>
      <c r="C55" s="5" t="s">
        <v>177</v>
      </c>
      <c r="D55" s="4" t="s">
        <v>178</v>
      </c>
      <c r="E55" s="4" t="s">
        <v>25</v>
      </c>
      <c r="F55" s="30">
        <v>44221</v>
      </c>
      <c r="G55" s="19" t="s">
        <v>113</v>
      </c>
      <c r="H55" s="19" t="str">
        <f t="shared" ca="1" si="0"/>
        <v>5 Years, 4 Months, 9 Days</v>
      </c>
      <c r="I55" s="4" t="s">
        <v>179</v>
      </c>
      <c r="J55" s="4" t="s">
        <v>115</v>
      </c>
      <c r="K55" s="6">
        <v>1731391344</v>
      </c>
      <c r="L55" s="6" t="s">
        <v>42</v>
      </c>
      <c r="M55" s="14"/>
      <c r="N55" s="18"/>
      <c r="O55" s="4"/>
      <c r="P55" s="18"/>
      <c r="Q55" s="3" t="s">
        <v>123</v>
      </c>
      <c r="R55" s="3" t="s">
        <v>33</v>
      </c>
      <c r="S55" s="4"/>
    </row>
    <row r="56" spans="1:19" ht="17.45">
      <c r="A56" s="3">
        <f>SUBTOTAL(103,$B$4:B56)</f>
        <v>53</v>
      </c>
      <c r="B56" s="8">
        <v>1312</v>
      </c>
      <c r="C56" s="5" t="s">
        <v>180</v>
      </c>
      <c r="D56" s="4" t="s">
        <v>35</v>
      </c>
      <c r="E56" s="4" t="s">
        <v>181</v>
      </c>
      <c r="F56" s="30">
        <v>40239</v>
      </c>
      <c r="G56" s="19" t="s">
        <v>26</v>
      </c>
      <c r="H56" s="19" t="str">
        <f t="shared" ca="1" si="0"/>
        <v>16 Years, 3 Months, 1 Days</v>
      </c>
      <c r="I56" s="4" t="s">
        <v>182</v>
      </c>
      <c r="J56" s="4" t="s">
        <v>28</v>
      </c>
      <c r="K56" s="6">
        <v>1726274502</v>
      </c>
      <c r="L56" s="6">
        <v>1777743425</v>
      </c>
      <c r="M56" s="9">
        <v>1344</v>
      </c>
      <c r="N56" s="4" t="s">
        <v>183</v>
      </c>
      <c r="O56" s="4" t="s">
        <v>94</v>
      </c>
      <c r="P56" s="4" t="s">
        <v>184</v>
      </c>
      <c r="Q56" s="3" t="s">
        <v>32</v>
      </c>
      <c r="R56" s="3" t="s">
        <v>33</v>
      </c>
      <c r="S56" s="4"/>
    </row>
    <row r="57" spans="1:19" ht="17.45">
      <c r="A57" s="3">
        <f>SUBTOTAL(103,$B$4:B57)</f>
        <v>54</v>
      </c>
      <c r="B57" s="8">
        <v>524938</v>
      </c>
      <c r="C57" s="5" t="s">
        <v>185</v>
      </c>
      <c r="D57" s="4" t="s">
        <v>24</v>
      </c>
      <c r="E57" s="4" t="s">
        <v>181</v>
      </c>
      <c r="F57" s="30">
        <v>44542</v>
      </c>
      <c r="G57" s="19" t="s">
        <v>26</v>
      </c>
      <c r="H57" s="19" t="str">
        <f t="shared" ca="1" si="0"/>
        <v>4 Years, 5 Months, 22 Days</v>
      </c>
      <c r="I57" s="4" t="s">
        <v>186</v>
      </c>
      <c r="J57" s="4" t="s">
        <v>28</v>
      </c>
      <c r="K57" s="6">
        <v>1755694188</v>
      </c>
      <c r="L57" s="6">
        <v>1755694188</v>
      </c>
      <c r="M57" s="9">
        <v>1344</v>
      </c>
      <c r="N57" s="4" t="s">
        <v>183</v>
      </c>
      <c r="O57" s="4" t="s">
        <v>94</v>
      </c>
      <c r="P57" s="4" t="s">
        <v>184</v>
      </c>
      <c r="Q57" s="3" t="s">
        <v>32</v>
      </c>
      <c r="R57" s="3" t="s">
        <v>33</v>
      </c>
      <c r="S57" s="4"/>
    </row>
    <row r="58" spans="1:19" ht="17.45">
      <c r="A58" s="3">
        <f>SUBTOTAL(103,$B$4:B58)</f>
        <v>55</v>
      </c>
      <c r="B58" s="8">
        <v>533443</v>
      </c>
      <c r="C58" s="5" t="s">
        <v>187</v>
      </c>
      <c r="D58" s="4" t="s">
        <v>48</v>
      </c>
      <c r="E58" s="4" t="s">
        <v>181</v>
      </c>
      <c r="F58" s="30">
        <v>44899</v>
      </c>
      <c r="G58" s="19" t="s">
        <v>26</v>
      </c>
      <c r="H58" s="19" t="str">
        <f t="shared" ca="1" si="0"/>
        <v>3 Years, 5 Months, 30 Days</v>
      </c>
      <c r="I58" s="4" t="s">
        <v>188</v>
      </c>
      <c r="J58" s="4" t="s">
        <v>28</v>
      </c>
      <c r="K58" s="6">
        <v>1775385705</v>
      </c>
      <c r="L58" s="6">
        <v>1777718092</v>
      </c>
      <c r="M58" s="9">
        <v>1344</v>
      </c>
      <c r="N58" s="4" t="s">
        <v>183</v>
      </c>
      <c r="O58" s="4" t="s">
        <v>94</v>
      </c>
      <c r="P58" s="4" t="s">
        <v>184</v>
      </c>
      <c r="Q58" s="3" t="s">
        <v>32</v>
      </c>
      <c r="R58" s="3" t="s">
        <v>33</v>
      </c>
      <c r="S58" s="4"/>
    </row>
    <row r="59" spans="1:19" ht="17.45">
      <c r="A59" s="3">
        <f>SUBTOTAL(103,$B$4:B59)</f>
        <v>56</v>
      </c>
      <c r="B59" s="8">
        <v>536627</v>
      </c>
      <c r="C59" s="5" t="s">
        <v>189</v>
      </c>
      <c r="D59" s="4" t="s">
        <v>24</v>
      </c>
      <c r="E59" s="4" t="s">
        <v>181</v>
      </c>
      <c r="F59" s="30">
        <v>45048</v>
      </c>
      <c r="G59" s="19" t="s">
        <v>190</v>
      </c>
      <c r="H59" s="19" t="str">
        <f t="shared" ca="1" si="0"/>
        <v>3 Years, 1 Months, 1 Days</v>
      </c>
      <c r="I59" s="4" t="s">
        <v>191</v>
      </c>
      <c r="J59" s="4" t="s">
        <v>28</v>
      </c>
      <c r="K59" s="6">
        <v>1937400333</v>
      </c>
      <c r="L59" s="6" t="s">
        <v>42</v>
      </c>
      <c r="M59" s="9">
        <v>1344</v>
      </c>
      <c r="N59" s="4" t="s">
        <v>183</v>
      </c>
      <c r="O59" s="4" t="s">
        <v>94</v>
      </c>
      <c r="P59" s="4" t="s">
        <v>184</v>
      </c>
      <c r="Q59" s="3" t="s">
        <v>32</v>
      </c>
      <c r="R59" s="3" t="s">
        <v>33</v>
      </c>
      <c r="S59" s="4"/>
    </row>
    <row r="60" spans="1:19" ht="17.45">
      <c r="A60" s="3">
        <f>SUBTOTAL(103,$B$4:B60)</f>
        <v>57</v>
      </c>
      <c r="B60" s="8">
        <v>549198</v>
      </c>
      <c r="C60" s="5" t="s">
        <v>192</v>
      </c>
      <c r="D60" s="4" t="s">
        <v>48</v>
      </c>
      <c r="E60" s="4" t="s">
        <v>181</v>
      </c>
      <c r="F60" s="30">
        <v>45645</v>
      </c>
      <c r="G60" s="19" t="s">
        <v>26</v>
      </c>
      <c r="H60" s="19" t="str">
        <f t="shared" ca="1" si="0"/>
        <v>1 Years, 5 Months, 15 Days</v>
      </c>
      <c r="I60" s="4" t="s">
        <v>193</v>
      </c>
      <c r="J60" s="4" t="s">
        <v>28</v>
      </c>
      <c r="K60" s="6">
        <v>1886777984</v>
      </c>
      <c r="L60" s="6" t="s">
        <v>42</v>
      </c>
      <c r="M60" s="9">
        <v>1344</v>
      </c>
      <c r="N60" s="4" t="s">
        <v>183</v>
      </c>
      <c r="O60" s="4" t="s">
        <v>94</v>
      </c>
      <c r="P60" s="4" t="s">
        <v>184</v>
      </c>
      <c r="Q60" s="3" t="s">
        <v>32</v>
      </c>
      <c r="R60" s="3" t="s">
        <v>33</v>
      </c>
      <c r="S60" s="4"/>
    </row>
    <row r="61" spans="1:19" ht="17.45">
      <c r="A61" s="3">
        <f>SUBTOTAL(103,$B$4:B61)</f>
        <v>58</v>
      </c>
      <c r="B61" s="8">
        <v>557836</v>
      </c>
      <c r="C61" s="5" t="s">
        <v>194</v>
      </c>
      <c r="D61" s="4" t="s">
        <v>24</v>
      </c>
      <c r="E61" s="4" t="s">
        <v>181</v>
      </c>
      <c r="F61" s="30">
        <v>45931</v>
      </c>
      <c r="G61" s="19" t="s">
        <v>26</v>
      </c>
      <c r="H61" s="19" t="str">
        <f t="shared" ca="1" si="0"/>
        <v>0 Years, 8 Months, 2 Days</v>
      </c>
      <c r="I61" s="4" t="s">
        <v>195</v>
      </c>
      <c r="J61" s="4" t="s">
        <v>28</v>
      </c>
      <c r="K61" s="6">
        <v>1728101109</v>
      </c>
      <c r="L61" s="6" t="s">
        <v>42</v>
      </c>
      <c r="M61" s="9">
        <v>1344</v>
      </c>
      <c r="N61" s="4" t="s">
        <v>183</v>
      </c>
      <c r="O61" s="4" t="s">
        <v>94</v>
      </c>
      <c r="P61" s="4" t="s">
        <v>184</v>
      </c>
      <c r="Q61" s="3" t="s">
        <v>32</v>
      </c>
      <c r="R61" s="3" t="s">
        <v>33</v>
      </c>
      <c r="S61" s="4"/>
    </row>
    <row r="62" spans="1:19" ht="17.45">
      <c r="A62" s="3">
        <f>SUBTOTAL(103,$B$4:B62)</f>
        <v>59</v>
      </c>
      <c r="B62" s="8">
        <v>558008</v>
      </c>
      <c r="C62" s="5" t="s">
        <v>196</v>
      </c>
      <c r="D62" s="4" t="s">
        <v>38</v>
      </c>
      <c r="E62" s="4" t="s">
        <v>181</v>
      </c>
      <c r="F62" s="30">
        <v>45939</v>
      </c>
      <c r="G62" s="19" t="s">
        <v>26</v>
      </c>
      <c r="H62" s="19" t="str">
        <f t="shared" ca="1" si="0"/>
        <v>0 Years, 7 Months, 25 Days</v>
      </c>
      <c r="I62" s="4" t="s">
        <v>197</v>
      </c>
      <c r="J62" s="4" t="s">
        <v>28</v>
      </c>
      <c r="K62" s="6">
        <v>1854470022</v>
      </c>
      <c r="L62" s="6" t="s">
        <v>42</v>
      </c>
      <c r="M62" s="9">
        <v>1344</v>
      </c>
      <c r="N62" s="4" t="s">
        <v>183</v>
      </c>
      <c r="O62" s="4" t="s">
        <v>94</v>
      </c>
      <c r="P62" s="4" t="s">
        <v>184</v>
      </c>
      <c r="Q62" s="3" t="s">
        <v>32</v>
      </c>
      <c r="R62" s="3" t="s">
        <v>33</v>
      </c>
      <c r="S62" s="4"/>
    </row>
    <row r="63" spans="1:19" ht="17.45">
      <c r="A63" s="3">
        <f>SUBTOTAL(103,$B$4:B63)</f>
        <v>60</v>
      </c>
      <c r="B63" s="8">
        <v>562990</v>
      </c>
      <c r="C63" s="5" t="s">
        <v>198</v>
      </c>
      <c r="D63" s="4" t="s">
        <v>38</v>
      </c>
      <c r="E63" s="4" t="s">
        <v>181</v>
      </c>
      <c r="F63" s="30">
        <v>46082</v>
      </c>
      <c r="G63" s="19" t="s">
        <v>26</v>
      </c>
      <c r="H63" s="19" t="str">
        <f t="shared" ca="1" si="0"/>
        <v>0 Years, 3 Months, 2 Days</v>
      </c>
      <c r="I63" s="4" t="s">
        <v>199</v>
      </c>
      <c r="J63" s="4" t="s">
        <v>28</v>
      </c>
      <c r="K63" s="6" t="s">
        <v>200</v>
      </c>
      <c r="L63" s="6"/>
      <c r="M63" s="9">
        <v>1344</v>
      </c>
      <c r="N63" s="4" t="s">
        <v>183</v>
      </c>
      <c r="O63" s="4" t="s">
        <v>94</v>
      </c>
      <c r="P63" s="4" t="s">
        <v>184</v>
      </c>
      <c r="Q63" s="3" t="s">
        <v>32</v>
      </c>
      <c r="R63" s="3" t="s">
        <v>33</v>
      </c>
      <c r="S63" s="4"/>
    </row>
    <row r="64" spans="1:19" ht="17.45">
      <c r="A64" s="3">
        <f>SUBTOTAL(103,$B$4:B64)</f>
        <v>61</v>
      </c>
      <c r="B64" s="8">
        <v>538840</v>
      </c>
      <c r="C64" s="5" t="s">
        <v>201</v>
      </c>
      <c r="D64" s="4" t="s">
        <v>38</v>
      </c>
      <c r="E64" s="4" t="s">
        <v>181</v>
      </c>
      <c r="F64" s="30">
        <v>45176</v>
      </c>
      <c r="G64" s="19" t="s">
        <v>26</v>
      </c>
      <c r="H64" s="19" t="str">
        <f t="shared" ca="1" si="0"/>
        <v>2 Years, 8 Months, 27 Days</v>
      </c>
      <c r="I64" s="4" t="s">
        <v>202</v>
      </c>
      <c r="J64" s="4" t="s">
        <v>28</v>
      </c>
      <c r="K64" s="6">
        <v>1755516520</v>
      </c>
      <c r="L64" s="6">
        <v>1755516520</v>
      </c>
      <c r="M64" s="9">
        <v>524938</v>
      </c>
      <c r="N64" s="4" t="s">
        <v>185</v>
      </c>
      <c r="O64" s="4" t="s">
        <v>24</v>
      </c>
      <c r="P64" s="4" t="s">
        <v>186</v>
      </c>
      <c r="Q64" s="3" t="s">
        <v>32</v>
      </c>
      <c r="R64" s="3" t="s">
        <v>33</v>
      </c>
      <c r="S64" s="4"/>
    </row>
    <row r="65" spans="1:19" ht="17.45">
      <c r="A65" s="3">
        <f>SUBTOTAL(103,$B$4:B65)</f>
        <v>62</v>
      </c>
      <c r="B65" s="8">
        <v>553792</v>
      </c>
      <c r="C65" s="5" t="s">
        <v>203</v>
      </c>
      <c r="D65" s="4" t="s">
        <v>38</v>
      </c>
      <c r="E65" s="4" t="s">
        <v>181</v>
      </c>
      <c r="F65" s="30">
        <v>45804</v>
      </c>
      <c r="G65" s="19" t="s">
        <v>190</v>
      </c>
      <c r="H65" s="19" t="str">
        <f t="shared" ca="1" si="0"/>
        <v>1 Years, 0 Months, 7 Days</v>
      </c>
      <c r="I65" s="4" t="s">
        <v>204</v>
      </c>
      <c r="J65" s="4" t="s">
        <v>28</v>
      </c>
      <c r="K65" s="6">
        <v>1820031204</v>
      </c>
      <c r="L65" s="6" t="s">
        <v>42</v>
      </c>
      <c r="M65" s="9">
        <v>524938</v>
      </c>
      <c r="N65" s="4" t="s">
        <v>185</v>
      </c>
      <c r="O65" s="4" t="s">
        <v>24</v>
      </c>
      <c r="P65" s="4" t="s">
        <v>186</v>
      </c>
      <c r="Q65" s="3" t="s">
        <v>32</v>
      </c>
      <c r="R65" s="3" t="s">
        <v>33</v>
      </c>
      <c r="S65" s="4"/>
    </row>
    <row r="66" spans="1:19" ht="17.45">
      <c r="A66" s="3">
        <f>SUBTOTAL(103,$B$4:B66)</f>
        <v>63</v>
      </c>
      <c r="B66" s="8">
        <v>554500</v>
      </c>
      <c r="C66" s="5" t="s">
        <v>205</v>
      </c>
      <c r="D66" s="4" t="s">
        <v>38</v>
      </c>
      <c r="E66" s="4" t="s">
        <v>181</v>
      </c>
      <c r="F66" s="30">
        <v>45839</v>
      </c>
      <c r="G66" s="19" t="s">
        <v>190</v>
      </c>
      <c r="H66" s="19" t="str">
        <f t="shared" ca="1" si="0"/>
        <v>0 Years, 11 Months, 2 Days</v>
      </c>
      <c r="I66" s="4" t="s">
        <v>206</v>
      </c>
      <c r="J66" s="4" t="s">
        <v>28</v>
      </c>
      <c r="K66" s="6">
        <v>1739640823</v>
      </c>
      <c r="L66" s="6" t="s">
        <v>42</v>
      </c>
      <c r="M66" s="9">
        <v>524938</v>
      </c>
      <c r="N66" s="4" t="s">
        <v>185</v>
      </c>
      <c r="O66" s="4" t="s">
        <v>24</v>
      </c>
      <c r="P66" s="4" t="s">
        <v>186</v>
      </c>
      <c r="Q66" s="3" t="s">
        <v>32</v>
      </c>
      <c r="R66" s="3" t="s">
        <v>33</v>
      </c>
      <c r="S66" s="4"/>
    </row>
    <row r="67" spans="1:19" ht="17.45">
      <c r="A67" s="3">
        <f>SUBTOTAL(103,$B$4:B67)</f>
        <v>64</v>
      </c>
      <c r="B67" s="8">
        <v>556410</v>
      </c>
      <c r="C67" s="5" t="s">
        <v>207</v>
      </c>
      <c r="D67" s="4" t="s">
        <v>38</v>
      </c>
      <c r="E67" s="4" t="s">
        <v>181</v>
      </c>
      <c r="F67" s="30">
        <v>45901</v>
      </c>
      <c r="G67" s="19" t="s">
        <v>208</v>
      </c>
      <c r="H67" s="19" t="str">
        <f t="shared" ca="1" si="0"/>
        <v>0 Years, 9 Months, 2 Days</v>
      </c>
      <c r="I67" s="4" t="s">
        <v>209</v>
      </c>
      <c r="J67" s="4" t="s">
        <v>28</v>
      </c>
      <c r="K67" s="6">
        <v>1710374142</v>
      </c>
      <c r="L67" s="6" t="s">
        <v>42</v>
      </c>
      <c r="M67" s="9">
        <v>524938</v>
      </c>
      <c r="N67" s="4" t="s">
        <v>185</v>
      </c>
      <c r="O67" s="4" t="s">
        <v>24</v>
      </c>
      <c r="P67" s="4" t="s">
        <v>186</v>
      </c>
      <c r="Q67" s="3" t="s">
        <v>32</v>
      </c>
      <c r="R67" s="3" t="s">
        <v>33</v>
      </c>
      <c r="S67" s="4"/>
    </row>
    <row r="68" spans="1:19" ht="17.45">
      <c r="A68" s="3">
        <f>SUBTOTAL(103,$B$4:B68)</f>
        <v>65</v>
      </c>
      <c r="B68" s="8">
        <v>1344</v>
      </c>
      <c r="C68" s="5" t="s">
        <v>183</v>
      </c>
      <c r="D68" s="4" t="s">
        <v>94</v>
      </c>
      <c r="E68" s="4" t="s">
        <v>181</v>
      </c>
      <c r="F68" s="30">
        <v>39173</v>
      </c>
      <c r="G68" s="19" t="s">
        <v>26</v>
      </c>
      <c r="H68" s="19" t="str">
        <f t="shared" ca="1" si="0"/>
        <v>19 Years, 2 Months, 2 Days</v>
      </c>
      <c r="I68" s="4" t="s">
        <v>184</v>
      </c>
      <c r="J68" s="4" t="s">
        <v>28</v>
      </c>
      <c r="K68" s="6">
        <v>1755516440</v>
      </c>
      <c r="L68" s="6">
        <v>1755516440</v>
      </c>
      <c r="M68" s="9">
        <v>540363</v>
      </c>
      <c r="N68" s="4" t="s">
        <v>210</v>
      </c>
      <c r="O68" s="4" t="s">
        <v>211</v>
      </c>
      <c r="P68" s="4" t="s">
        <v>212</v>
      </c>
      <c r="Q68" s="3" t="s">
        <v>123</v>
      </c>
      <c r="R68" s="3" t="s">
        <v>124</v>
      </c>
      <c r="S68" s="4" t="s">
        <v>213</v>
      </c>
    </row>
    <row r="69" spans="1:19" ht="17.45">
      <c r="A69" s="3">
        <f>SUBTOTAL(103,$B$4:B69)</f>
        <v>66</v>
      </c>
      <c r="B69" s="8">
        <v>560436</v>
      </c>
      <c r="C69" s="5" t="s">
        <v>214</v>
      </c>
      <c r="D69" s="4" t="s">
        <v>38</v>
      </c>
      <c r="E69" s="4" t="s">
        <v>181</v>
      </c>
      <c r="F69" s="30">
        <v>46006</v>
      </c>
      <c r="G69" s="19" t="s">
        <v>26</v>
      </c>
      <c r="H69" s="19" t="str">
        <f t="shared" ref="H69:H132" ca="1" si="1">DATEDIF(F69,TODAY(),"Y") &amp; " Years, " &amp; DATEDIF(F69,TODAY(),"YM") &amp; " Months, " &amp; DATEDIF(F69,TODAY(),"MD") &amp; " Days"</f>
        <v>0 Years, 5 Months, 19 Days</v>
      </c>
      <c r="I69" s="4" t="s">
        <v>215</v>
      </c>
      <c r="J69" s="4" t="s">
        <v>28</v>
      </c>
      <c r="K69" s="6">
        <v>1719293666</v>
      </c>
      <c r="L69" s="6" t="s">
        <v>42</v>
      </c>
      <c r="M69" s="9">
        <v>540372</v>
      </c>
      <c r="N69" s="4" t="s">
        <v>216</v>
      </c>
      <c r="O69" s="4" t="s">
        <v>48</v>
      </c>
      <c r="P69" s="4" t="s">
        <v>217</v>
      </c>
      <c r="Q69" s="3" t="s">
        <v>32</v>
      </c>
      <c r="R69" s="3" t="s">
        <v>33</v>
      </c>
      <c r="S69" s="4"/>
    </row>
    <row r="70" spans="1:19" ht="17.45">
      <c r="A70" s="3">
        <f>SUBTOTAL(103,$B$4:B70)</f>
        <v>67</v>
      </c>
      <c r="B70" s="8">
        <v>523870</v>
      </c>
      <c r="C70" s="5" t="s">
        <v>218</v>
      </c>
      <c r="D70" s="4" t="s">
        <v>219</v>
      </c>
      <c r="E70" s="4" t="s">
        <v>181</v>
      </c>
      <c r="F70" s="30">
        <v>44440</v>
      </c>
      <c r="G70" s="19" t="s">
        <v>190</v>
      </c>
      <c r="H70" s="19" t="str">
        <f t="shared" ca="1" si="1"/>
        <v>4 Years, 9 Months, 2 Days</v>
      </c>
      <c r="I70" s="4" t="s">
        <v>220</v>
      </c>
      <c r="J70" s="4" t="s">
        <v>28</v>
      </c>
      <c r="K70" s="6">
        <v>1879884615</v>
      </c>
      <c r="L70" s="6" t="s">
        <v>42</v>
      </c>
      <c r="M70" s="9"/>
      <c r="N70" s="4"/>
      <c r="O70" s="4"/>
      <c r="P70" s="4"/>
      <c r="Q70" s="3" t="s">
        <v>32</v>
      </c>
      <c r="R70" s="3" t="s">
        <v>33</v>
      </c>
      <c r="S70" s="4"/>
    </row>
    <row r="71" spans="1:19" ht="17.45">
      <c r="A71" s="3">
        <f>SUBTOTAL(103,$B$4:B71)</f>
        <v>68</v>
      </c>
      <c r="B71" s="8">
        <v>540906</v>
      </c>
      <c r="C71" s="5" t="s">
        <v>221</v>
      </c>
      <c r="D71" s="4" t="s">
        <v>38</v>
      </c>
      <c r="E71" s="4" t="s">
        <v>222</v>
      </c>
      <c r="F71" s="30">
        <v>45301</v>
      </c>
      <c r="G71" s="19" t="s">
        <v>26</v>
      </c>
      <c r="H71" s="19" t="str">
        <f t="shared" ca="1" si="1"/>
        <v>2 Years, 4 Months, 24 Days</v>
      </c>
      <c r="I71" s="4" t="s">
        <v>223</v>
      </c>
      <c r="J71" s="4" t="s">
        <v>28</v>
      </c>
      <c r="K71" s="6">
        <v>1329645868</v>
      </c>
      <c r="L71" s="6">
        <v>1329645868</v>
      </c>
      <c r="M71" s="9">
        <v>525501</v>
      </c>
      <c r="N71" s="4" t="s">
        <v>224</v>
      </c>
      <c r="O71" s="4" t="s">
        <v>30</v>
      </c>
      <c r="P71" s="4" t="s">
        <v>225</v>
      </c>
      <c r="Q71" s="3" t="s">
        <v>32</v>
      </c>
      <c r="R71" s="3" t="s">
        <v>33</v>
      </c>
      <c r="S71" s="4"/>
    </row>
    <row r="72" spans="1:19" ht="17.45">
      <c r="A72" s="3">
        <f>SUBTOTAL(103,$B$4:B72)</f>
        <v>69</v>
      </c>
      <c r="B72" s="8">
        <v>559328</v>
      </c>
      <c r="C72" s="5" t="s">
        <v>226</v>
      </c>
      <c r="D72" s="4" t="s">
        <v>48</v>
      </c>
      <c r="E72" s="4" t="s">
        <v>222</v>
      </c>
      <c r="F72" s="30">
        <v>45972</v>
      </c>
      <c r="G72" s="19" t="s">
        <v>26</v>
      </c>
      <c r="H72" s="19" t="str">
        <f t="shared" ca="1" si="1"/>
        <v>0 Years, 6 Months, 23 Days</v>
      </c>
      <c r="I72" s="4" t="s">
        <v>227</v>
      </c>
      <c r="J72" s="4" t="s">
        <v>28</v>
      </c>
      <c r="K72" s="6">
        <v>1770202136</v>
      </c>
      <c r="L72" s="6" t="s">
        <v>42</v>
      </c>
      <c r="M72" s="9">
        <v>525501</v>
      </c>
      <c r="N72" s="4" t="s">
        <v>224</v>
      </c>
      <c r="O72" s="4" t="s">
        <v>30</v>
      </c>
      <c r="P72" s="4" t="s">
        <v>225</v>
      </c>
      <c r="Q72" s="3" t="s">
        <v>32</v>
      </c>
      <c r="R72" s="3" t="s">
        <v>33</v>
      </c>
      <c r="S72" s="4"/>
    </row>
    <row r="73" spans="1:19" ht="17.45">
      <c r="A73" s="3">
        <f>SUBTOTAL(103,$B$4:B73)</f>
        <v>70</v>
      </c>
      <c r="B73" s="8">
        <v>525501</v>
      </c>
      <c r="C73" s="5" t="s">
        <v>224</v>
      </c>
      <c r="D73" s="4" t="s">
        <v>30</v>
      </c>
      <c r="E73" s="4" t="s">
        <v>222</v>
      </c>
      <c r="F73" s="30">
        <v>44599</v>
      </c>
      <c r="G73" s="19" t="s">
        <v>26</v>
      </c>
      <c r="H73" s="19" t="str">
        <f t="shared" ca="1" si="1"/>
        <v>4 Years, 3 Months, 27 Days</v>
      </c>
      <c r="I73" s="4" t="s">
        <v>225</v>
      </c>
      <c r="J73" s="4" t="s">
        <v>28</v>
      </c>
      <c r="K73" s="6">
        <v>1794037645</v>
      </c>
      <c r="L73" s="6">
        <v>1713020537</v>
      </c>
      <c r="M73" s="14">
        <v>529668</v>
      </c>
      <c r="N73" s="18" t="s">
        <v>228</v>
      </c>
      <c r="O73" s="4" t="str">
        <f>VLOOKUP(Table1[[#This Row],[Supervisors'' Enroll]],[1]EmployeeMonthLyStatus!$B$2:$G$2474,6,FALSE)</f>
        <v>Chief Executive Officer</v>
      </c>
      <c r="P73" s="18" t="s">
        <v>229</v>
      </c>
      <c r="Q73" s="3" t="s">
        <v>32</v>
      </c>
      <c r="R73" s="3" t="s">
        <v>33</v>
      </c>
      <c r="S73" s="4"/>
    </row>
    <row r="74" spans="1:19" ht="17.45">
      <c r="A74" s="3">
        <f>SUBTOTAL(103,$B$4:B74)</f>
        <v>71</v>
      </c>
      <c r="B74" s="8">
        <v>529230</v>
      </c>
      <c r="C74" s="5" t="s">
        <v>230</v>
      </c>
      <c r="D74" s="4" t="s">
        <v>30</v>
      </c>
      <c r="E74" s="4" t="s">
        <v>231</v>
      </c>
      <c r="F74" s="30">
        <v>44706</v>
      </c>
      <c r="G74" s="19" t="s">
        <v>56</v>
      </c>
      <c r="H74" s="19" t="str">
        <f t="shared" ca="1" si="1"/>
        <v>4 Years, 0 Months, 9 Days</v>
      </c>
      <c r="I74" s="4" t="s">
        <v>232</v>
      </c>
      <c r="J74" s="4" t="s">
        <v>58</v>
      </c>
      <c r="K74" s="6">
        <v>1720226809</v>
      </c>
      <c r="L74" s="6">
        <v>1755516538</v>
      </c>
      <c r="M74" s="9">
        <v>1356</v>
      </c>
      <c r="N74" s="4" t="s">
        <v>233</v>
      </c>
      <c r="O74" s="4" t="s">
        <v>106</v>
      </c>
      <c r="P74" s="4" t="s">
        <v>234</v>
      </c>
      <c r="Q74" s="3" t="s">
        <v>32</v>
      </c>
      <c r="R74" s="3" t="s">
        <v>124</v>
      </c>
      <c r="S74" s="4" t="s">
        <v>235</v>
      </c>
    </row>
    <row r="75" spans="1:19" ht="17.45">
      <c r="A75" s="3">
        <f>SUBTOTAL(103,$B$4:B75)</f>
        <v>72</v>
      </c>
      <c r="B75" s="8">
        <v>548197</v>
      </c>
      <c r="C75" s="5" t="s">
        <v>236</v>
      </c>
      <c r="D75" s="4" t="s">
        <v>61</v>
      </c>
      <c r="E75" s="4" t="s">
        <v>231</v>
      </c>
      <c r="F75" s="30">
        <v>45601</v>
      </c>
      <c r="G75" s="19" t="s">
        <v>56</v>
      </c>
      <c r="H75" s="19" t="str">
        <f t="shared" ca="1" si="1"/>
        <v>1 Years, 6 Months, 29 Days</v>
      </c>
      <c r="I75" s="4" t="s">
        <v>237</v>
      </c>
      <c r="J75" s="4" t="s">
        <v>58</v>
      </c>
      <c r="K75" s="6">
        <v>1811422232</v>
      </c>
      <c r="L75" s="6" t="s">
        <v>42</v>
      </c>
      <c r="M75" s="9">
        <v>1356</v>
      </c>
      <c r="N75" s="4" t="s">
        <v>233</v>
      </c>
      <c r="O75" s="4" t="s">
        <v>106</v>
      </c>
      <c r="P75" s="4" t="s">
        <v>234</v>
      </c>
      <c r="Q75" s="3" t="s">
        <v>32</v>
      </c>
      <c r="R75" s="3" t="s">
        <v>33</v>
      </c>
      <c r="S75" s="4"/>
    </row>
    <row r="76" spans="1:19" ht="17.45">
      <c r="A76" s="3">
        <f>SUBTOTAL(103,$B$4:B76)</f>
        <v>73</v>
      </c>
      <c r="B76" s="8">
        <v>514242</v>
      </c>
      <c r="C76" s="5" t="s">
        <v>238</v>
      </c>
      <c r="D76" s="4" t="s">
        <v>38</v>
      </c>
      <c r="E76" s="4" t="s">
        <v>231</v>
      </c>
      <c r="F76" s="30">
        <v>44256</v>
      </c>
      <c r="G76" s="19" t="s">
        <v>239</v>
      </c>
      <c r="H76" s="19" t="str">
        <f t="shared" ca="1" si="1"/>
        <v>5 Years, 3 Months, 2 Days</v>
      </c>
      <c r="I76" s="4" t="s">
        <v>240</v>
      </c>
      <c r="J76" s="4" t="s">
        <v>241</v>
      </c>
      <c r="K76" s="6">
        <v>1997000374</v>
      </c>
      <c r="L76" s="6">
        <v>1755516534</v>
      </c>
      <c r="M76" s="9">
        <v>1592</v>
      </c>
      <c r="N76" s="4" t="s">
        <v>242</v>
      </c>
      <c r="O76" s="4" t="s">
        <v>106</v>
      </c>
      <c r="P76" s="4" t="s">
        <v>243</v>
      </c>
      <c r="Q76" s="3" t="s">
        <v>32</v>
      </c>
      <c r="R76" s="3" t="s">
        <v>33</v>
      </c>
      <c r="S76" s="4"/>
    </row>
    <row r="77" spans="1:19" ht="17.45">
      <c r="A77" s="3">
        <f>SUBTOTAL(103,$B$4:B77)</f>
        <v>74</v>
      </c>
      <c r="B77" s="8">
        <v>553964</v>
      </c>
      <c r="C77" s="5" t="s">
        <v>244</v>
      </c>
      <c r="D77" s="4" t="s">
        <v>30</v>
      </c>
      <c r="E77" s="4" t="s">
        <v>231</v>
      </c>
      <c r="F77" s="30">
        <v>45824</v>
      </c>
      <c r="G77" s="19" t="s">
        <v>239</v>
      </c>
      <c r="H77" s="19" t="str">
        <f t="shared" ca="1" si="1"/>
        <v>0 Years, 11 Months, 18 Days</v>
      </c>
      <c r="I77" s="4" t="s">
        <v>245</v>
      </c>
      <c r="J77" s="4" t="s">
        <v>241</v>
      </c>
      <c r="K77" s="6">
        <v>1784377507</v>
      </c>
      <c r="L77" s="6" t="s">
        <v>42</v>
      </c>
      <c r="M77" s="9">
        <v>1592</v>
      </c>
      <c r="N77" s="4" t="s">
        <v>242</v>
      </c>
      <c r="O77" s="4" t="s">
        <v>106</v>
      </c>
      <c r="P77" s="4" t="s">
        <v>243</v>
      </c>
      <c r="Q77" s="3" t="s">
        <v>32</v>
      </c>
      <c r="R77" s="3" t="s">
        <v>124</v>
      </c>
      <c r="S77" s="4" t="s">
        <v>246</v>
      </c>
    </row>
    <row r="78" spans="1:19" ht="17.45">
      <c r="A78" s="3">
        <f>SUBTOTAL(103,$B$4:B78)</f>
        <v>75</v>
      </c>
      <c r="B78" s="8">
        <v>541153</v>
      </c>
      <c r="C78" s="5" t="s">
        <v>247</v>
      </c>
      <c r="D78" s="4" t="s">
        <v>24</v>
      </c>
      <c r="E78" s="4" t="s">
        <v>231</v>
      </c>
      <c r="F78" s="30">
        <v>45323</v>
      </c>
      <c r="G78" s="19" t="s">
        <v>26</v>
      </c>
      <c r="H78" s="19" t="str">
        <f t="shared" ca="1" si="1"/>
        <v>2 Years, 4 Months, 2 Days</v>
      </c>
      <c r="I78" s="4" t="s">
        <v>248</v>
      </c>
      <c r="J78" s="4" t="s">
        <v>28</v>
      </c>
      <c r="K78" s="6">
        <v>1915790615</v>
      </c>
      <c r="L78" s="6">
        <v>1324762450</v>
      </c>
      <c r="M78" s="9">
        <v>96287</v>
      </c>
      <c r="N78" s="4" t="s">
        <v>249</v>
      </c>
      <c r="O78" s="4" t="s">
        <v>250</v>
      </c>
      <c r="P78" s="4" t="s">
        <v>251</v>
      </c>
      <c r="Q78" s="3" t="s">
        <v>32</v>
      </c>
      <c r="R78" s="3" t="s">
        <v>33</v>
      </c>
      <c r="S78" s="4"/>
    </row>
    <row r="79" spans="1:19" ht="17.45">
      <c r="A79" s="3">
        <f>SUBTOTAL(103,$B$4:B79)</f>
        <v>76</v>
      </c>
      <c r="B79" s="8">
        <v>540689</v>
      </c>
      <c r="C79" s="5" t="s">
        <v>252</v>
      </c>
      <c r="D79" s="4" t="s">
        <v>35</v>
      </c>
      <c r="E79" s="4" t="s">
        <v>231</v>
      </c>
      <c r="F79" s="30">
        <v>45294</v>
      </c>
      <c r="G79" s="19" t="s">
        <v>26</v>
      </c>
      <c r="H79" s="19" t="str">
        <f t="shared" ca="1" si="1"/>
        <v>2 Years, 5 Months, 0 Days</v>
      </c>
      <c r="I79" s="4" t="s">
        <v>253</v>
      </c>
      <c r="J79" s="4" t="s">
        <v>28</v>
      </c>
      <c r="K79" s="6">
        <v>1329645888</v>
      </c>
      <c r="L79" s="6">
        <v>1329645888</v>
      </c>
      <c r="M79" s="9">
        <v>155258</v>
      </c>
      <c r="N79" s="4" t="s">
        <v>254</v>
      </c>
      <c r="O79" s="4" t="s">
        <v>250</v>
      </c>
      <c r="P79" s="4" t="s">
        <v>255</v>
      </c>
      <c r="Q79" s="3" t="s">
        <v>32</v>
      </c>
      <c r="R79" s="3" t="s">
        <v>33</v>
      </c>
      <c r="S79" s="4"/>
    </row>
    <row r="80" spans="1:19" ht="17.45">
      <c r="A80" s="3">
        <f>SUBTOTAL(103,$B$4:B80)</f>
        <v>77</v>
      </c>
      <c r="B80" s="8">
        <v>549170</v>
      </c>
      <c r="C80" s="5" t="s">
        <v>256</v>
      </c>
      <c r="D80" s="4" t="s">
        <v>30</v>
      </c>
      <c r="E80" s="4" t="s">
        <v>231</v>
      </c>
      <c r="F80" s="30">
        <v>45644</v>
      </c>
      <c r="G80" s="19" t="s">
        <v>144</v>
      </c>
      <c r="H80" s="19" t="str">
        <f t="shared" ca="1" si="1"/>
        <v>1 Years, 5 Months, 16 Days</v>
      </c>
      <c r="I80" s="4" t="s">
        <v>257</v>
      </c>
      <c r="J80" s="4" t="s">
        <v>146</v>
      </c>
      <c r="K80" s="6">
        <v>1733990038</v>
      </c>
      <c r="L80" s="6" t="s">
        <v>42</v>
      </c>
      <c r="M80" s="9">
        <v>204848</v>
      </c>
      <c r="N80" s="4" t="s">
        <v>258</v>
      </c>
      <c r="O80" s="4" t="s">
        <v>259</v>
      </c>
      <c r="P80" s="4" t="s">
        <v>260</v>
      </c>
      <c r="Q80" s="3" t="s">
        <v>32</v>
      </c>
      <c r="R80" s="3" t="s">
        <v>124</v>
      </c>
      <c r="S80" s="4" t="s">
        <v>261</v>
      </c>
    </row>
    <row r="81" spans="1:19" ht="17.45">
      <c r="A81" s="3">
        <f>SUBTOTAL(103,$B$4:B81)</f>
        <v>78</v>
      </c>
      <c r="B81" s="8">
        <v>542156</v>
      </c>
      <c r="C81" s="5" t="s">
        <v>262</v>
      </c>
      <c r="D81" s="4" t="s">
        <v>48</v>
      </c>
      <c r="E81" s="4" t="s">
        <v>231</v>
      </c>
      <c r="F81" s="30">
        <v>45369</v>
      </c>
      <c r="G81" s="19" t="s">
        <v>190</v>
      </c>
      <c r="H81" s="19" t="str">
        <f t="shared" ca="1" si="1"/>
        <v>2 Years, 2 Months, 16 Days</v>
      </c>
      <c r="I81" s="4" t="s">
        <v>263</v>
      </c>
      <c r="J81" s="4" t="s">
        <v>28</v>
      </c>
      <c r="K81" s="6">
        <v>1864904403</v>
      </c>
      <c r="L81" s="6">
        <v>1334762313</v>
      </c>
      <c r="M81" s="9">
        <v>525914</v>
      </c>
      <c r="N81" s="4" t="s">
        <v>264</v>
      </c>
      <c r="O81" s="4" t="s">
        <v>24</v>
      </c>
      <c r="P81" s="4" t="s">
        <v>265</v>
      </c>
      <c r="Q81" s="3" t="s">
        <v>32</v>
      </c>
      <c r="R81" s="3" t="s">
        <v>33</v>
      </c>
      <c r="S81" s="4"/>
    </row>
    <row r="82" spans="1:19" ht="17.45">
      <c r="A82" s="3">
        <f>SUBTOTAL(103,$B$4:B82)</f>
        <v>79</v>
      </c>
      <c r="B82" s="8">
        <v>557768</v>
      </c>
      <c r="C82" s="5" t="s">
        <v>266</v>
      </c>
      <c r="D82" s="4" t="s">
        <v>24</v>
      </c>
      <c r="E82" s="4" t="s">
        <v>231</v>
      </c>
      <c r="F82" s="30">
        <v>45929</v>
      </c>
      <c r="G82" s="19" t="s">
        <v>152</v>
      </c>
      <c r="H82" s="19" t="str">
        <f t="shared" ca="1" si="1"/>
        <v>0 Years, 8 Months, 5 Days</v>
      </c>
      <c r="I82" s="4" t="s">
        <v>267</v>
      </c>
      <c r="J82" s="4" t="s">
        <v>154</v>
      </c>
      <c r="K82" s="6">
        <v>1676556610</v>
      </c>
      <c r="L82" s="6" t="s">
        <v>42</v>
      </c>
      <c r="M82" s="9">
        <v>527823</v>
      </c>
      <c r="N82" s="4" t="s">
        <v>268</v>
      </c>
      <c r="O82" s="4" t="s">
        <v>250</v>
      </c>
      <c r="P82" s="4" t="s">
        <v>269</v>
      </c>
      <c r="Q82" s="3" t="s">
        <v>32</v>
      </c>
      <c r="R82" s="3" t="s">
        <v>33</v>
      </c>
      <c r="S82" s="4"/>
    </row>
    <row r="83" spans="1:19" ht="17.45">
      <c r="A83" s="3">
        <f>SUBTOTAL(103,$B$4:B83)</f>
        <v>80</v>
      </c>
      <c r="B83" s="8">
        <v>540634</v>
      </c>
      <c r="C83" s="5" t="s">
        <v>270</v>
      </c>
      <c r="D83" s="4" t="s">
        <v>35</v>
      </c>
      <c r="E83" s="4" t="s">
        <v>231</v>
      </c>
      <c r="F83" s="30">
        <v>45288</v>
      </c>
      <c r="G83" s="19" t="s">
        <v>156</v>
      </c>
      <c r="H83" s="19" t="str">
        <f t="shared" ca="1" si="1"/>
        <v>2 Years, 5 Months, 6 Days</v>
      </c>
      <c r="I83" s="4" t="s">
        <v>271</v>
      </c>
      <c r="J83" s="4" t="s">
        <v>158</v>
      </c>
      <c r="K83" s="6">
        <v>1754717756</v>
      </c>
      <c r="L83" s="6" t="s">
        <v>42</v>
      </c>
      <c r="M83" s="9">
        <v>527823</v>
      </c>
      <c r="N83" s="4" t="s">
        <v>268</v>
      </c>
      <c r="O83" s="4" t="s">
        <v>250</v>
      </c>
      <c r="P83" s="4" t="s">
        <v>269</v>
      </c>
      <c r="Q83" s="3" t="s">
        <v>32</v>
      </c>
      <c r="R83" s="3" t="s">
        <v>33</v>
      </c>
      <c r="S83" s="4"/>
    </row>
    <row r="84" spans="1:19" ht="17.45">
      <c r="A84" s="3">
        <f>SUBTOTAL(103,$B$4:B84)</f>
        <v>81</v>
      </c>
      <c r="B84" s="8">
        <v>540631</v>
      </c>
      <c r="C84" s="5" t="s">
        <v>272</v>
      </c>
      <c r="D84" s="4" t="s">
        <v>24</v>
      </c>
      <c r="E84" s="4" t="s">
        <v>231</v>
      </c>
      <c r="F84" s="30">
        <v>45291</v>
      </c>
      <c r="G84" s="19" t="s">
        <v>26</v>
      </c>
      <c r="H84" s="19" t="str">
        <f t="shared" ca="1" si="1"/>
        <v>2 Years, 5 Months, 3 Days</v>
      </c>
      <c r="I84" s="4" t="s">
        <v>273</v>
      </c>
      <c r="J84" s="4" t="s">
        <v>28</v>
      </c>
      <c r="K84" s="6">
        <v>1329645870</v>
      </c>
      <c r="L84" s="6">
        <v>1329645880</v>
      </c>
      <c r="M84" s="9">
        <v>529606</v>
      </c>
      <c r="N84" s="4" t="s">
        <v>274</v>
      </c>
      <c r="O84" s="4" t="s">
        <v>250</v>
      </c>
      <c r="P84" s="4" t="s">
        <v>275</v>
      </c>
      <c r="Q84" s="3" t="s">
        <v>32</v>
      </c>
      <c r="R84" s="3" t="s">
        <v>33</v>
      </c>
      <c r="S84" s="4"/>
    </row>
    <row r="85" spans="1:19" ht="17.45">
      <c r="A85" s="3">
        <f>SUBTOTAL(103,$B$4:B85)</f>
        <v>82</v>
      </c>
      <c r="B85" s="8">
        <v>557779</v>
      </c>
      <c r="C85" s="5" t="s">
        <v>276</v>
      </c>
      <c r="D85" s="4" t="s">
        <v>24</v>
      </c>
      <c r="E85" s="4" t="s">
        <v>231</v>
      </c>
      <c r="F85" s="30">
        <v>45930</v>
      </c>
      <c r="G85" s="19" t="s">
        <v>135</v>
      </c>
      <c r="H85" s="19" t="str">
        <f t="shared" ca="1" si="1"/>
        <v>0 Years, 8 Months, 4 Days</v>
      </c>
      <c r="I85" s="4" t="s">
        <v>277</v>
      </c>
      <c r="J85" s="4" t="s">
        <v>137</v>
      </c>
      <c r="K85" s="6">
        <v>1335128822</v>
      </c>
      <c r="L85" s="6" t="s">
        <v>42</v>
      </c>
      <c r="M85" s="9">
        <v>529668</v>
      </c>
      <c r="N85" s="4" t="s">
        <v>228</v>
      </c>
      <c r="O85" s="4" t="s">
        <v>211</v>
      </c>
      <c r="P85" s="4" t="s">
        <v>229</v>
      </c>
      <c r="Q85" s="3" t="s">
        <v>32</v>
      </c>
      <c r="R85" s="3" t="s">
        <v>33</v>
      </c>
      <c r="S85" s="4"/>
    </row>
    <row r="86" spans="1:19" ht="17.45">
      <c r="A86" s="3">
        <f>SUBTOTAL(103,$B$4:B86)</f>
        <v>83</v>
      </c>
      <c r="B86" s="8">
        <v>558955</v>
      </c>
      <c r="C86" s="5" t="s">
        <v>278</v>
      </c>
      <c r="D86" s="4" t="s">
        <v>24</v>
      </c>
      <c r="E86" s="4" t="s">
        <v>231</v>
      </c>
      <c r="F86" s="30">
        <v>45965</v>
      </c>
      <c r="G86" s="19" t="s">
        <v>279</v>
      </c>
      <c r="H86" s="19" t="str">
        <f t="shared" ca="1" si="1"/>
        <v>0 Years, 6 Months, 30 Days</v>
      </c>
      <c r="I86" s="4" t="s">
        <v>280</v>
      </c>
      <c r="J86" s="4" t="s">
        <v>173</v>
      </c>
      <c r="K86" s="6">
        <v>1913973608</v>
      </c>
      <c r="L86" s="6" t="s">
        <v>42</v>
      </c>
      <c r="M86" s="9">
        <v>529668</v>
      </c>
      <c r="N86" s="4" t="s">
        <v>228</v>
      </c>
      <c r="O86" s="4" t="s">
        <v>211</v>
      </c>
      <c r="P86" s="4" t="s">
        <v>229</v>
      </c>
      <c r="Q86" s="3" t="s">
        <v>32</v>
      </c>
      <c r="R86" s="3" t="s">
        <v>33</v>
      </c>
      <c r="S86" s="4"/>
    </row>
    <row r="87" spans="1:19" ht="17.45">
      <c r="A87" s="3">
        <f>SUBTOTAL(103,$B$4:B87)</f>
        <v>84</v>
      </c>
      <c r="B87" s="8">
        <v>552044</v>
      </c>
      <c r="C87" s="5" t="s">
        <v>281</v>
      </c>
      <c r="D87" s="4" t="s">
        <v>48</v>
      </c>
      <c r="E87" s="4" t="s">
        <v>231</v>
      </c>
      <c r="F87" s="30">
        <v>45755</v>
      </c>
      <c r="G87" s="19" t="s">
        <v>282</v>
      </c>
      <c r="H87" s="19" t="str">
        <f t="shared" ca="1" si="1"/>
        <v>1 Years, 1 Months, 26 Days</v>
      </c>
      <c r="I87" s="4" t="s">
        <v>283</v>
      </c>
      <c r="J87" s="4" t="s">
        <v>284</v>
      </c>
      <c r="K87" s="6">
        <v>1551061420</v>
      </c>
      <c r="L87" s="6" t="s">
        <v>42</v>
      </c>
      <c r="M87" s="9">
        <v>533137</v>
      </c>
      <c r="N87" s="4" t="s">
        <v>285</v>
      </c>
      <c r="O87" s="4" t="s">
        <v>286</v>
      </c>
      <c r="P87" s="4" t="s">
        <v>287</v>
      </c>
      <c r="Q87" s="3" t="s">
        <v>32</v>
      </c>
      <c r="R87" s="3" t="s">
        <v>33</v>
      </c>
      <c r="S87" s="4"/>
    </row>
    <row r="88" spans="1:19" ht="17.45">
      <c r="A88" s="3">
        <f>SUBTOTAL(103,$B$4:B88)</f>
        <v>85</v>
      </c>
      <c r="B88" s="8">
        <v>96287</v>
      </c>
      <c r="C88" s="5" t="s">
        <v>249</v>
      </c>
      <c r="D88" s="4" t="s">
        <v>250</v>
      </c>
      <c r="E88" s="4" t="s">
        <v>231</v>
      </c>
      <c r="F88" s="30">
        <v>41609</v>
      </c>
      <c r="G88" s="19" t="s">
        <v>26</v>
      </c>
      <c r="H88" s="19" t="str">
        <f t="shared" ca="1" si="1"/>
        <v>12 Years, 6 Months, 2 Days</v>
      </c>
      <c r="I88" s="4" t="s">
        <v>251</v>
      </c>
      <c r="J88" s="4" t="s">
        <v>28</v>
      </c>
      <c r="K88" s="6">
        <v>1718322819</v>
      </c>
      <c r="L88" s="6">
        <v>1755630226</v>
      </c>
      <c r="M88" s="9">
        <v>540363</v>
      </c>
      <c r="N88" s="4" t="s">
        <v>210</v>
      </c>
      <c r="O88" s="4" t="s">
        <v>211</v>
      </c>
      <c r="P88" s="4" t="s">
        <v>212</v>
      </c>
      <c r="Q88" s="3" t="s">
        <v>32</v>
      </c>
      <c r="R88" s="3" t="s">
        <v>124</v>
      </c>
      <c r="S88" s="4" t="s">
        <v>288</v>
      </c>
    </row>
    <row r="89" spans="1:19" ht="17.45">
      <c r="A89" s="3">
        <f>SUBTOTAL(103,$B$4:B89)</f>
        <v>86</v>
      </c>
      <c r="B89" s="8">
        <v>155258</v>
      </c>
      <c r="C89" s="5" t="s">
        <v>254</v>
      </c>
      <c r="D89" s="4" t="s">
        <v>250</v>
      </c>
      <c r="E89" s="4" t="s">
        <v>231</v>
      </c>
      <c r="F89" s="30">
        <v>41994</v>
      </c>
      <c r="G89" s="19" t="s">
        <v>26</v>
      </c>
      <c r="H89" s="19" t="str">
        <f t="shared" ca="1" si="1"/>
        <v>11 Years, 5 Months, 13 Days</v>
      </c>
      <c r="I89" s="4" t="s">
        <v>255</v>
      </c>
      <c r="J89" s="4" t="s">
        <v>28</v>
      </c>
      <c r="K89" s="6">
        <v>1716401317</v>
      </c>
      <c r="L89" s="6">
        <v>1777718004</v>
      </c>
      <c r="M89" s="9">
        <v>540363</v>
      </c>
      <c r="N89" s="4" t="s">
        <v>210</v>
      </c>
      <c r="O89" s="4" t="s">
        <v>211</v>
      </c>
      <c r="P89" s="4" t="s">
        <v>212</v>
      </c>
      <c r="Q89" s="3" t="s">
        <v>32</v>
      </c>
      <c r="R89" s="3" t="s">
        <v>124</v>
      </c>
      <c r="S89" s="4" t="s">
        <v>289</v>
      </c>
    </row>
    <row r="90" spans="1:19" ht="17.45">
      <c r="A90" s="3">
        <f>SUBTOTAL(103,$B$4:B90)</f>
        <v>87</v>
      </c>
      <c r="B90" s="8">
        <v>529606</v>
      </c>
      <c r="C90" s="5" t="s">
        <v>274</v>
      </c>
      <c r="D90" s="4" t="s">
        <v>250</v>
      </c>
      <c r="E90" s="4" t="s">
        <v>231</v>
      </c>
      <c r="F90" s="30">
        <v>44728</v>
      </c>
      <c r="G90" s="19" t="s">
        <v>26</v>
      </c>
      <c r="H90" s="19" t="str">
        <f t="shared" ca="1" si="1"/>
        <v>3 Years, 11 Months, 18 Days</v>
      </c>
      <c r="I90" s="4" t="s">
        <v>275</v>
      </c>
      <c r="J90" s="4" t="s">
        <v>28</v>
      </c>
      <c r="K90" s="6">
        <v>1711081941</v>
      </c>
      <c r="L90" s="6">
        <v>1777743477</v>
      </c>
      <c r="M90" s="9">
        <v>540363</v>
      </c>
      <c r="N90" s="4" t="s">
        <v>210</v>
      </c>
      <c r="O90" s="4" t="s">
        <v>211</v>
      </c>
      <c r="P90" s="4" t="s">
        <v>212</v>
      </c>
      <c r="Q90" s="3" t="s">
        <v>32</v>
      </c>
      <c r="R90" s="3" t="s">
        <v>124</v>
      </c>
      <c r="S90" s="4" t="s">
        <v>290</v>
      </c>
    </row>
    <row r="91" spans="1:19" ht="17.45">
      <c r="A91" s="3">
        <f>SUBTOTAL(103,$B$4:B91)</f>
        <v>88</v>
      </c>
      <c r="B91" s="8">
        <v>529343</v>
      </c>
      <c r="C91" s="5" t="s">
        <v>291</v>
      </c>
      <c r="D91" s="4" t="s">
        <v>61</v>
      </c>
      <c r="E91" s="4" t="s">
        <v>231</v>
      </c>
      <c r="F91" s="30">
        <v>44713</v>
      </c>
      <c r="G91" s="19" t="s">
        <v>144</v>
      </c>
      <c r="H91" s="19" t="str">
        <f t="shared" ca="1" si="1"/>
        <v>4 Years, 0 Months, 2 Days</v>
      </c>
      <c r="I91" s="4" t="s">
        <v>292</v>
      </c>
      <c r="J91" s="4" t="s">
        <v>146</v>
      </c>
      <c r="K91" s="6">
        <v>1747103706</v>
      </c>
      <c r="L91" s="6">
        <v>1324762716</v>
      </c>
      <c r="M91" s="9">
        <v>549170</v>
      </c>
      <c r="N91" s="4" t="s">
        <v>256</v>
      </c>
      <c r="O91" s="4" t="s">
        <v>30</v>
      </c>
      <c r="P91" s="4" t="s">
        <v>257</v>
      </c>
      <c r="Q91" s="3" t="s">
        <v>32</v>
      </c>
      <c r="R91" s="3" t="s">
        <v>33</v>
      </c>
      <c r="S91" s="4"/>
    </row>
    <row r="92" spans="1:19" ht="17.45">
      <c r="A92" s="3">
        <f>SUBTOTAL(103,$B$4:B92)</f>
        <v>89</v>
      </c>
      <c r="B92" s="8">
        <v>529354</v>
      </c>
      <c r="C92" s="5" t="s">
        <v>293</v>
      </c>
      <c r="D92" s="4" t="s">
        <v>24</v>
      </c>
      <c r="E92" s="4" t="s">
        <v>231</v>
      </c>
      <c r="F92" s="30">
        <v>44713</v>
      </c>
      <c r="G92" s="19" t="s">
        <v>144</v>
      </c>
      <c r="H92" s="19" t="str">
        <f t="shared" ca="1" si="1"/>
        <v>4 Years, 0 Months, 2 Days</v>
      </c>
      <c r="I92" s="4" t="s">
        <v>294</v>
      </c>
      <c r="J92" s="4" t="s">
        <v>146</v>
      </c>
      <c r="K92" s="6">
        <v>1324762727</v>
      </c>
      <c r="L92" s="6">
        <v>1324762727</v>
      </c>
      <c r="M92" s="9">
        <v>549170</v>
      </c>
      <c r="N92" s="4" t="s">
        <v>256</v>
      </c>
      <c r="O92" s="4" t="s">
        <v>30</v>
      </c>
      <c r="P92" s="4" t="s">
        <v>257</v>
      </c>
      <c r="Q92" s="3" t="s">
        <v>32</v>
      </c>
      <c r="R92" s="3" t="s">
        <v>33</v>
      </c>
      <c r="S92" s="4"/>
    </row>
    <row r="93" spans="1:19" ht="17.45">
      <c r="A93" s="3">
        <f>SUBTOTAL(103,$B$4:B93)</f>
        <v>90</v>
      </c>
      <c r="B93" s="8">
        <v>550155</v>
      </c>
      <c r="C93" s="5" t="s">
        <v>295</v>
      </c>
      <c r="D93" s="4" t="s">
        <v>24</v>
      </c>
      <c r="E93" s="4" t="s">
        <v>231</v>
      </c>
      <c r="F93" s="30">
        <v>45676</v>
      </c>
      <c r="G93" s="19" t="s">
        <v>144</v>
      </c>
      <c r="H93" s="19" t="str">
        <f t="shared" ca="1" si="1"/>
        <v>1 Years, 4 Months, 15 Days</v>
      </c>
      <c r="I93" s="4" t="s">
        <v>296</v>
      </c>
      <c r="J93" s="4" t="s">
        <v>146</v>
      </c>
      <c r="K93" s="6">
        <v>1911770411</v>
      </c>
      <c r="L93" s="6" t="s">
        <v>42</v>
      </c>
      <c r="M93" s="9">
        <v>549170</v>
      </c>
      <c r="N93" s="4" t="s">
        <v>256</v>
      </c>
      <c r="O93" s="4" t="s">
        <v>30</v>
      </c>
      <c r="P93" s="4" t="s">
        <v>257</v>
      </c>
      <c r="Q93" s="3" t="s">
        <v>32</v>
      </c>
      <c r="R93" s="3" t="s">
        <v>33</v>
      </c>
      <c r="S93" s="4"/>
    </row>
    <row r="94" spans="1:19" ht="17.45">
      <c r="A94" s="3">
        <f>SUBTOTAL(103,$B$4:B94)</f>
        <v>91</v>
      </c>
      <c r="B94" s="8">
        <v>540853</v>
      </c>
      <c r="C94" s="5" t="s">
        <v>297</v>
      </c>
      <c r="D94" s="4" t="s">
        <v>35</v>
      </c>
      <c r="E94" s="4" t="s">
        <v>231</v>
      </c>
      <c r="F94" s="30">
        <v>45301</v>
      </c>
      <c r="G94" s="19" t="s">
        <v>26</v>
      </c>
      <c r="H94" s="19" t="str">
        <f t="shared" ca="1" si="1"/>
        <v>2 Years, 4 Months, 24 Days</v>
      </c>
      <c r="I94" s="4" t="s">
        <v>298</v>
      </c>
      <c r="J94" s="4" t="s">
        <v>28</v>
      </c>
      <c r="K94" s="6">
        <v>1329645871</v>
      </c>
      <c r="L94" s="6">
        <v>1329645871</v>
      </c>
      <c r="M94" s="9">
        <v>324760</v>
      </c>
      <c r="N94" s="4" t="s">
        <v>299</v>
      </c>
      <c r="O94" s="4" t="str">
        <f>VLOOKUP(Table1[[#This Row],[Supervisors'' Enroll]],[1]EmployeeMonthLyStatus!$B$2:$G$2474,6,FALSE)</f>
        <v>Senior Executive</v>
      </c>
      <c r="P94" s="18" t="s">
        <v>300</v>
      </c>
      <c r="Q94" s="3" t="s">
        <v>32</v>
      </c>
      <c r="R94" s="3" t="s">
        <v>33</v>
      </c>
      <c r="S94" s="4"/>
    </row>
    <row r="95" spans="1:19" ht="17.45">
      <c r="A95" s="3">
        <f>SUBTOTAL(103,$B$4:B95)</f>
        <v>92</v>
      </c>
      <c r="B95" s="8">
        <v>557699</v>
      </c>
      <c r="C95" s="5" t="s">
        <v>301</v>
      </c>
      <c r="D95" s="4" t="s">
        <v>48</v>
      </c>
      <c r="E95" s="4" t="s">
        <v>302</v>
      </c>
      <c r="F95" s="30">
        <v>45928</v>
      </c>
      <c r="G95" s="19" t="s">
        <v>26</v>
      </c>
      <c r="H95" s="19" t="str">
        <f t="shared" ca="1" si="1"/>
        <v>0 Years, 8 Months, 6 Days</v>
      </c>
      <c r="I95" s="4" t="s">
        <v>303</v>
      </c>
      <c r="J95" s="4" t="s">
        <v>28</v>
      </c>
      <c r="K95" s="6">
        <v>1580786349</v>
      </c>
      <c r="L95" s="6" t="s">
        <v>42</v>
      </c>
      <c r="M95" s="9">
        <v>1366</v>
      </c>
      <c r="N95" s="4" t="s">
        <v>304</v>
      </c>
      <c r="O95" s="4" t="s">
        <v>61</v>
      </c>
      <c r="P95" s="4" t="s">
        <v>305</v>
      </c>
      <c r="Q95" s="3" t="s">
        <v>32</v>
      </c>
      <c r="R95" s="3" t="s">
        <v>33</v>
      </c>
      <c r="S95" s="4"/>
    </row>
    <row r="96" spans="1:19" ht="17.45">
      <c r="A96" s="3">
        <f>SUBTOTAL(103,$B$4:B96)</f>
        <v>93</v>
      </c>
      <c r="B96" s="8">
        <v>555808</v>
      </c>
      <c r="C96" s="5" t="s">
        <v>306</v>
      </c>
      <c r="D96" s="4" t="s">
        <v>48</v>
      </c>
      <c r="E96" s="4" t="s">
        <v>302</v>
      </c>
      <c r="F96" s="30">
        <v>45882</v>
      </c>
      <c r="G96" s="19" t="s">
        <v>26</v>
      </c>
      <c r="H96" s="19" t="str">
        <f t="shared" ca="1" si="1"/>
        <v>0 Years, 9 Months, 21 Days</v>
      </c>
      <c r="I96" s="4" t="s">
        <v>307</v>
      </c>
      <c r="J96" s="4" t="s">
        <v>28</v>
      </c>
      <c r="K96" s="6">
        <v>1741992486</v>
      </c>
      <c r="L96" s="6" t="s">
        <v>42</v>
      </c>
      <c r="M96" s="9">
        <v>281507</v>
      </c>
      <c r="N96" s="4" t="s">
        <v>308</v>
      </c>
      <c r="O96" s="4" t="s">
        <v>24</v>
      </c>
      <c r="P96" s="4" t="s">
        <v>309</v>
      </c>
      <c r="Q96" s="3" t="s">
        <v>32</v>
      </c>
      <c r="R96" s="3" t="s">
        <v>33</v>
      </c>
      <c r="S96" s="4"/>
    </row>
    <row r="97" spans="1:19" ht="17.45">
      <c r="A97" s="3">
        <f>SUBTOTAL(103,$B$4:B97)</f>
        <v>94</v>
      </c>
      <c r="B97" s="8">
        <v>1366</v>
      </c>
      <c r="C97" s="5" t="s">
        <v>304</v>
      </c>
      <c r="D97" s="4" t="s">
        <v>61</v>
      </c>
      <c r="E97" s="4" t="s">
        <v>302</v>
      </c>
      <c r="F97" s="30">
        <v>40361</v>
      </c>
      <c r="G97" s="19" t="s">
        <v>26</v>
      </c>
      <c r="H97" s="19" t="str">
        <f t="shared" ca="1" si="1"/>
        <v>15 Years, 11 Months, 1 Days</v>
      </c>
      <c r="I97" s="4" t="s">
        <v>305</v>
      </c>
      <c r="J97" s="4" t="s">
        <v>28</v>
      </c>
      <c r="K97" s="6" t="s">
        <v>310</v>
      </c>
      <c r="L97" s="6">
        <v>1755516501</v>
      </c>
      <c r="M97" s="9">
        <v>496229</v>
      </c>
      <c r="N97" s="4" t="s">
        <v>311</v>
      </c>
      <c r="O97" s="4" t="s">
        <v>94</v>
      </c>
      <c r="P97" s="4" t="s">
        <v>312</v>
      </c>
      <c r="Q97" s="3" t="s">
        <v>32</v>
      </c>
      <c r="R97" s="3" t="s">
        <v>33</v>
      </c>
      <c r="S97" s="4"/>
    </row>
    <row r="98" spans="1:19" ht="17.45">
      <c r="A98" s="3">
        <f>SUBTOTAL(103,$B$4:B98)</f>
        <v>95</v>
      </c>
      <c r="B98" s="8">
        <v>281507</v>
      </c>
      <c r="C98" s="5" t="s">
        <v>308</v>
      </c>
      <c r="D98" s="4" t="s">
        <v>24</v>
      </c>
      <c r="E98" s="4" t="s">
        <v>302</v>
      </c>
      <c r="F98" s="30">
        <v>42742</v>
      </c>
      <c r="G98" s="19" t="s">
        <v>26</v>
      </c>
      <c r="H98" s="19" t="str">
        <f t="shared" ca="1" si="1"/>
        <v>9 Years, 4 Months, 27 Days</v>
      </c>
      <c r="I98" s="4" t="s">
        <v>309</v>
      </c>
      <c r="J98" s="4" t="s">
        <v>28</v>
      </c>
      <c r="K98" s="6">
        <v>1685562443</v>
      </c>
      <c r="L98" s="6">
        <v>1777743418</v>
      </c>
      <c r="M98" s="9">
        <v>496229</v>
      </c>
      <c r="N98" s="4" t="s">
        <v>311</v>
      </c>
      <c r="O98" s="4" t="s">
        <v>94</v>
      </c>
      <c r="P98" s="4" t="s">
        <v>312</v>
      </c>
      <c r="Q98" s="3" t="s">
        <v>32</v>
      </c>
      <c r="R98" s="3" t="s">
        <v>33</v>
      </c>
      <c r="S98" s="4"/>
    </row>
    <row r="99" spans="1:19" ht="17.45">
      <c r="A99" s="3">
        <f>SUBTOTAL(103,$B$4:B99)</f>
        <v>96</v>
      </c>
      <c r="B99" s="8">
        <v>479219</v>
      </c>
      <c r="C99" s="5" t="s">
        <v>313</v>
      </c>
      <c r="D99" s="4" t="s">
        <v>48</v>
      </c>
      <c r="E99" s="4" t="s">
        <v>302</v>
      </c>
      <c r="F99" s="30">
        <v>43906</v>
      </c>
      <c r="G99" s="19" t="s">
        <v>26</v>
      </c>
      <c r="H99" s="19" t="str">
        <f t="shared" ca="1" si="1"/>
        <v>6 Years, 2 Months, 18 Days</v>
      </c>
      <c r="I99" s="4" t="s">
        <v>314</v>
      </c>
      <c r="J99" s="4" t="s">
        <v>28</v>
      </c>
      <c r="K99" s="6">
        <v>1753749220</v>
      </c>
      <c r="L99" s="6">
        <v>1755516410</v>
      </c>
      <c r="M99" s="9">
        <v>496229</v>
      </c>
      <c r="N99" s="4" t="s">
        <v>311</v>
      </c>
      <c r="O99" s="4" t="s">
        <v>94</v>
      </c>
      <c r="P99" s="4" t="s">
        <v>312</v>
      </c>
      <c r="Q99" s="3" t="s">
        <v>32</v>
      </c>
      <c r="R99" s="3" t="s">
        <v>33</v>
      </c>
      <c r="S99" s="4"/>
    </row>
    <row r="100" spans="1:19" ht="17.45">
      <c r="A100" s="3">
        <f>SUBTOTAL(103,$B$4:B100)</f>
        <v>97</v>
      </c>
      <c r="B100" s="8">
        <v>539355</v>
      </c>
      <c r="C100" s="5" t="s">
        <v>315</v>
      </c>
      <c r="D100" s="4" t="s">
        <v>48</v>
      </c>
      <c r="E100" s="4" t="s">
        <v>302</v>
      </c>
      <c r="F100" s="30">
        <v>45208</v>
      </c>
      <c r="G100" s="19" t="s">
        <v>26</v>
      </c>
      <c r="H100" s="19" t="str">
        <f t="shared" ca="1" si="1"/>
        <v>2 Years, 7 Months, 25 Days</v>
      </c>
      <c r="I100" s="4" t="s">
        <v>316</v>
      </c>
      <c r="J100" s="4" t="s">
        <v>28</v>
      </c>
      <c r="K100" s="6">
        <v>1771405689</v>
      </c>
      <c r="L100" s="6">
        <v>1329645713</v>
      </c>
      <c r="M100" s="9">
        <v>496229</v>
      </c>
      <c r="N100" s="4" t="s">
        <v>311</v>
      </c>
      <c r="O100" s="4" t="s">
        <v>94</v>
      </c>
      <c r="P100" s="4" t="s">
        <v>312</v>
      </c>
      <c r="Q100" s="3" t="s">
        <v>32</v>
      </c>
      <c r="R100" s="3" t="s">
        <v>33</v>
      </c>
      <c r="S100" s="4"/>
    </row>
    <row r="101" spans="1:19" ht="17.45">
      <c r="A101" s="3">
        <f>SUBTOTAL(103,$B$4:B101)</f>
        <v>98</v>
      </c>
      <c r="B101" s="8">
        <v>544078</v>
      </c>
      <c r="C101" s="5" t="s">
        <v>317</v>
      </c>
      <c r="D101" s="4" t="s">
        <v>24</v>
      </c>
      <c r="E101" s="4" t="s">
        <v>302</v>
      </c>
      <c r="F101" s="30">
        <v>45475</v>
      </c>
      <c r="G101" s="19" t="s">
        <v>144</v>
      </c>
      <c r="H101" s="19" t="str">
        <f t="shared" ca="1" si="1"/>
        <v>1 Years, 11 Months, 1 Days</v>
      </c>
      <c r="I101" s="4" t="s">
        <v>318</v>
      </c>
      <c r="J101" s="4" t="s">
        <v>146</v>
      </c>
      <c r="K101" s="6">
        <v>1334762368</v>
      </c>
      <c r="L101" s="6" t="s">
        <v>42</v>
      </c>
      <c r="M101" s="9">
        <v>496229</v>
      </c>
      <c r="N101" s="4" t="s">
        <v>311</v>
      </c>
      <c r="O101" s="4" t="s">
        <v>94</v>
      </c>
      <c r="P101" s="4" t="s">
        <v>312</v>
      </c>
      <c r="Q101" s="3" t="s">
        <v>32</v>
      </c>
      <c r="R101" s="3" t="s">
        <v>33</v>
      </c>
      <c r="S101" s="4"/>
    </row>
    <row r="102" spans="1:19" ht="17.45">
      <c r="A102" s="3">
        <f>SUBTOTAL(103,$B$4:B102)</f>
        <v>99</v>
      </c>
      <c r="B102" s="8">
        <v>544589</v>
      </c>
      <c r="C102" s="5" t="s">
        <v>319</v>
      </c>
      <c r="D102" s="4" t="s">
        <v>24</v>
      </c>
      <c r="E102" s="4" t="s">
        <v>302</v>
      </c>
      <c r="F102" s="30">
        <v>45511</v>
      </c>
      <c r="G102" s="19" t="s">
        <v>156</v>
      </c>
      <c r="H102" s="19" t="str">
        <f t="shared" ca="1" si="1"/>
        <v>1 Years, 9 Months, 27 Days</v>
      </c>
      <c r="I102" s="4" t="s">
        <v>320</v>
      </c>
      <c r="J102" s="4" t="s">
        <v>158</v>
      </c>
      <c r="K102" s="6">
        <v>1632549695</v>
      </c>
      <c r="L102" s="6" t="s">
        <v>42</v>
      </c>
      <c r="M102" s="9">
        <v>496229</v>
      </c>
      <c r="N102" s="4" t="s">
        <v>311</v>
      </c>
      <c r="O102" s="4" t="s">
        <v>94</v>
      </c>
      <c r="P102" s="4" t="s">
        <v>312</v>
      </c>
      <c r="Q102" s="3" t="s">
        <v>32</v>
      </c>
      <c r="R102" s="3" t="s">
        <v>33</v>
      </c>
      <c r="S102" s="4"/>
    </row>
    <row r="103" spans="1:19" ht="17.45">
      <c r="A103" s="3">
        <f>SUBTOTAL(103,$B$4:B103)</f>
        <v>100</v>
      </c>
      <c r="B103" s="8">
        <v>561207</v>
      </c>
      <c r="C103" s="5" t="s">
        <v>321</v>
      </c>
      <c r="D103" s="4" t="s">
        <v>322</v>
      </c>
      <c r="E103" s="4" t="s">
        <v>302</v>
      </c>
      <c r="F103" s="30">
        <v>46033</v>
      </c>
      <c r="G103" s="19" t="s">
        <v>26</v>
      </c>
      <c r="H103" s="19" t="str">
        <f t="shared" ca="1" si="1"/>
        <v>0 Years, 4 Months, 23 Days</v>
      </c>
      <c r="I103" s="4" t="s">
        <v>323</v>
      </c>
      <c r="J103" s="4" t="s">
        <v>28</v>
      </c>
      <c r="K103" s="6"/>
      <c r="L103" s="6"/>
      <c r="M103" s="9">
        <v>496229</v>
      </c>
      <c r="N103" s="4" t="s">
        <v>311</v>
      </c>
      <c r="O103" s="4" t="s">
        <v>94</v>
      </c>
      <c r="P103" s="4" t="s">
        <v>312</v>
      </c>
      <c r="Q103" s="3" t="s">
        <v>32</v>
      </c>
      <c r="R103" s="3" t="s">
        <v>33</v>
      </c>
      <c r="S103" s="4"/>
    </row>
    <row r="104" spans="1:19" ht="17.45">
      <c r="A104" s="3">
        <f>SUBTOTAL(103,$B$4:B104)</f>
        <v>101</v>
      </c>
      <c r="B104" s="8">
        <v>561398</v>
      </c>
      <c r="C104" s="5" t="s">
        <v>324</v>
      </c>
      <c r="D104" s="4" t="s">
        <v>322</v>
      </c>
      <c r="E104" s="4" t="s">
        <v>302</v>
      </c>
      <c r="F104" s="30">
        <v>46040</v>
      </c>
      <c r="G104" s="19" t="s">
        <v>26</v>
      </c>
      <c r="H104" s="19" t="str">
        <f t="shared" ca="1" si="1"/>
        <v>0 Years, 4 Months, 16 Days</v>
      </c>
      <c r="I104" s="16" t="s">
        <v>325</v>
      </c>
      <c r="J104" s="4" t="s">
        <v>28</v>
      </c>
      <c r="K104" s="6" t="s">
        <v>326</v>
      </c>
      <c r="L104" s="6"/>
      <c r="M104" s="9">
        <v>496229</v>
      </c>
      <c r="N104" s="4" t="s">
        <v>311</v>
      </c>
      <c r="O104" s="4" t="s">
        <v>94</v>
      </c>
      <c r="P104" s="4" t="s">
        <v>312</v>
      </c>
      <c r="Q104" s="3" t="s">
        <v>32</v>
      </c>
      <c r="R104" s="3" t="s">
        <v>33</v>
      </c>
      <c r="S104" s="4"/>
    </row>
    <row r="105" spans="1:19" ht="17.45">
      <c r="A105" s="3">
        <f>SUBTOTAL(103,$B$4:B105)</f>
        <v>102</v>
      </c>
      <c r="B105" s="8">
        <v>496229</v>
      </c>
      <c r="C105" s="5" t="s">
        <v>311</v>
      </c>
      <c r="D105" s="4" t="s">
        <v>94</v>
      </c>
      <c r="E105" s="4" t="s">
        <v>302</v>
      </c>
      <c r="F105" s="30">
        <v>44093</v>
      </c>
      <c r="G105" s="19" t="s">
        <v>26</v>
      </c>
      <c r="H105" s="19" t="str">
        <f t="shared" ca="1" si="1"/>
        <v>5 Years, 8 Months, 15 Days</v>
      </c>
      <c r="I105" s="4" t="s">
        <v>312</v>
      </c>
      <c r="J105" s="4" t="s">
        <v>28</v>
      </c>
      <c r="K105" s="6">
        <v>1755516505</v>
      </c>
      <c r="L105" s="6">
        <v>1755516505</v>
      </c>
      <c r="M105" s="9">
        <v>540363</v>
      </c>
      <c r="N105" s="4" t="s">
        <v>210</v>
      </c>
      <c r="O105" s="4" t="s">
        <v>211</v>
      </c>
      <c r="P105" s="4" t="s">
        <v>212</v>
      </c>
      <c r="Q105" s="3" t="s">
        <v>123</v>
      </c>
      <c r="R105" s="3" t="s">
        <v>124</v>
      </c>
      <c r="S105" s="4" t="s">
        <v>327</v>
      </c>
    </row>
    <row r="106" spans="1:19" ht="17.45">
      <c r="A106" s="3">
        <f>SUBTOTAL(103,$B$4:B106)</f>
        <v>103</v>
      </c>
      <c r="B106" s="8">
        <v>560452</v>
      </c>
      <c r="C106" s="5" t="s">
        <v>328</v>
      </c>
      <c r="D106" s="4" t="s">
        <v>38</v>
      </c>
      <c r="E106" s="4" t="s">
        <v>329</v>
      </c>
      <c r="F106" s="30">
        <v>46006</v>
      </c>
      <c r="G106" s="19" t="s">
        <v>26</v>
      </c>
      <c r="H106" s="19" t="str">
        <f t="shared" ca="1" si="1"/>
        <v>0 Years, 5 Months, 19 Days</v>
      </c>
      <c r="I106" s="4" t="s">
        <v>330</v>
      </c>
      <c r="J106" s="4" t="s">
        <v>28</v>
      </c>
      <c r="K106" s="6">
        <v>1634325032</v>
      </c>
      <c r="L106" s="6" t="s">
        <v>42</v>
      </c>
      <c r="M106" s="9">
        <v>525819</v>
      </c>
      <c r="N106" s="4" t="s">
        <v>331</v>
      </c>
      <c r="O106" s="4" t="s">
        <v>24</v>
      </c>
      <c r="P106" s="4" t="s">
        <v>332</v>
      </c>
      <c r="Q106" s="3" t="s">
        <v>32</v>
      </c>
      <c r="R106" s="3" t="s">
        <v>33</v>
      </c>
      <c r="S106" s="4"/>
    </row>
    <row r="107" spans="1:19" ht="17.45">
      <c r="A107" s="3">
        <f>SUBTOTAL(103,$B$4:B107)</f>
        <v>104</v>
      </c>
      <c r="B107" s="8">
        <v>561397</v>
      </c>
      <c r="C107" s="5" t="s">
        <v>333</v>
      </c>
      <c r="D107" s="4" t="s">
        <v>38</v>
      </c>
      <c r="E107" s="4" t="s">
        <v>329</v>
      </c>
      <c r="F107" s="30">
        <v>46040</v>
      </c>
      <c r="G107" s="19" t="s">
        <v>26</v>
      </c>
      <c r="H107" s="19" t="str">
        <f t="shared" ca="1" si="1"/>
        <v>0 Years, 4 Months, 16 Days</v>
      </c>
      <c r="I107" s="4" t="s">
        <v>334</v>
      </c>
      <c r="J107" s="4" t="s">
        <v>28</v>
      </c>
      <c r="K107" s="6" t="s">
        <v>335</v>
      </c>
      <c r="L107" s="6"/>
      <c r="M107" s="9">
        <v>525819</v>
      </c>
      <c r="N107" s="4" t="s">
        <v>331</v>
      </c>
      <c r="O107" s="4" t="s">
        <v>24</v>
      </c>
      <c r="P107" s="4" t="s">
        <v>332</v>
      </c>
      <c r="Q107" s="3" t="s">
        <v>32</v>
      </c>
      <c r="R107" s="3" t="s">
        <v>33</v>
      </c>
      <c r="S107" s="4"/>
    </row>
    <row r="108" spans="1:19" ht="17.45">
      <c r="A108" s="3">
        <f>SUBTOTAL(103,$B$4:B108)</f>
        <v>105</v>
      </c>
      <c r="B108" s="8">
        <v>525819</v>
      </c>
      <c r="C108" s="5" t="s">
        <v>331</v>
      </c>
      <c r="D108" s="4" t="s">
        <v>24</v>
      </c>
      <c r="E108" s="4" t="s">
        <v>329</v>
      </c>
      <c r="F108" s="30">
        <v>44615</v>
      </c>
      <c r="G108" s="19" t="s">
        <v>26</v>
      </c>
      <c r="H108" s="19" t="str">
        <f t="shared" ca="1" si="1"/>
        <v>4 Years, 3 Months, 11 Days</v>
      </c>
      <c r="I108" s="4" t="s">
        <v>332</v>
      </c>
      <c r="J108" s="4" t="s">
        <v>28</v>
      </c>
      <c r="K108" s="6">
        <v>1911280410</v>
      </c>
      <c r="L108" s="6">
        <v>1777743529</v>
      </c>
      <c r="M108" s="14"/>
      <c r="N108" s="18" t="s">
        <v>175</v>
      </c>
      <c r="O108" s="4" t="s">
        <v>175</v>
      </c>
      <c r="P108" s="4" t="s">
        <v>175</v>
      </c>
      <c r="Q108" s="3" t="s">
        <v>32</v>
      </c>
      <c r="R108" s="3" t="s">
        <v>33</v>
      </c>
      <c r="S108" s="4"/>
    </row>
    <row r="109" spans="1:19" ht="17.45">
      <c r="A109" s="3">
        <f>SUBTOTAL(103,$B$4:B109)</f>
        <v>106</v>
      </c>
      <c r="B109" s="8">
        <v>540672</v>
      </c>
      <c r="C109" s="5" t="s">
        <v>336</v>
      </c>
      <c r="D109" s="4" t="s">
        <v>35</v>
      </c>
      <c r="E109" s="4" t="s">
        <v>329</v>
      </c>
      <c r="F109" s="30">
        <v>45292</v>
      </c>
      <c r="G109" s="19" t="s">
        <v>26</v>
      </c>
      <c r="H109" s="19" t="str">
        <f t="shared" ca="1" si="1"/>
        <v>2 Years, 5 Months, 2 Days</v>
      </c>
      <c r="I109" s="4" t="s">
        <v>337</v>
      </c>
      <c r="J109" s="4" t="s">
        <v>28</v>
      </c>
      <c r="K109" s="6">
        <v>1329645886</v>
      </c>
      <c r="L109" s="6">
        <v>1329645886</v>
      </c>
      <c r="M109" s="9"/>
      <c r="N109" s="4" t="s">
        <v>175</v>
      </c>
      <c r="O109" s="4" t="s">
        <v>175</v>
      </c>
      <c r="P109" s="4" t="s">
        <v>175</v>
      </c>
      <c r="Q109" s="3" t="s">
        <v>32</v>
      </c>
      <c r="R109" s="3" t="s">
        <v>33</v>
      </c>
      <c r="S109" s="4"/>
    </row>
    <row r="110" spans="1:19" ht="17.45">
      <c r="A110" s="3">
        <f>SUBTOTAL(103,$B$4:B110)</f>
        <v>107</v>
      </c>
      <c r="B110" s="8">
        <v>529756</v>
      </c>
      <c r="C110" s="5" t="s">
        <v>338</v>
      </c>
      <c r="D110" s="4" t="s">
        <v>48</v>
      </c>
      <c r="E110" s="4" t="s">
        <v>339</v>
      </c>
      <c r="F110" s="30">
        <v>44745</v>
      </c>
      <c r="G110" s="19" t="s">
        <v>26</v>
      </c>
      <c r="H110" s="19" t="str">
        <f t="shared" ca="1" si="1"/>
        <v>3 Years, 11 Months, 0 Days</v>
      </c>
      <c r="I110" s="4" t="s">
        <v>340</v>
      </c>
      <c r="J110" s="4" t="s">
        <v>28</v>
      </c>
      <c r="K110" s="6">
        <v>1795701176</v>
      </c>
      <c r="L110" s="6">
        <v>1324762701</v>
      </c>
      <c r="M110" s="9">
        <v>58155</v>
      </c>
      <c r="N110" s="4" t="s">
        <v>341</v>
      </c>
      <c r="O110" s="4" t="s">
        <v>129</v>
      </c>
      <c r="P110" s="4" t="s">
        <v>342</v>
      </c>
      <c r="Q110" s="3" t="s">
        <v>32</v>
      </c>
      <c r="R110" s="3" t="s">
        <v>33</v>
      </c>
      <c r="S110" s="4"/>
    </row>
    <row r="111" spans="1:19" ht="17.45">
      <c r="A111" s="3">
        <f>SUBTOTAL(103,$B$4:B111)</f>
        <v>108</v>
      </c>
      <c r="B111" s="8">
        <v>553965</v>
      </c>
      <c r="C111" s="5" t="s">
        <v>343</v>
      </c>
      <c r="D111" s="4" t="s">
        <v>61</v>
      </c>
      <c r="E111" s="4" t="s">
        <v>339</v>
      </c>
      <c r="F111" s="30">
        <v>45824</v>
      </c>
      <c r="G111" s="19" t="s">
        <v>26</v>
      </c>
      <c r="H111" s="19" t="str">
        <f t="shared" ca="1" si="1"/>
        <v>0 Years, 11 Months, 18 Days</v>
      </c>
      <c r="I111" s="4" t="s">
        <v>344</v>
      </c>
      <c r="J111" s="4" t="s">
        <v>28</v>
      </c>
      <c r="K111" s="6">
        <v>1334915745</v>
      </c>
      <c r="L111" s="6" t="s">
        <v>42</v>
      </c>
      <c r="M111" s="9">
        <v>58155</v>
      </c>
      <c r="N111" s="4" t="s">
        <v>341</v>
      </c>
      <c r="O111" s="4" t="s">
        <v>129</v>
      </c>
      <c r="P111" s="4" t="s">
        <v>342</v>
      </c>
      <c r="Q111" s="3" t="s">
        <v>32</v>
      </c>
      <c r="R111" s="3" t="s">
        <v>33</v>
      </c>
      <c r="S111" s="4"/>
    </row>
    <row r="112" spans="1:19" ht="17.45">
      <c r="A112" s="3">
        <f>SUBTOTAL(103,$B$4:B112)</f>
        <v>109</v>
      </c>
      <c r="B112" s="8">
        <v>529517</v>
      </c>
      <c r="C112" s="5" t="s">
        <v>345</v>
      </c>
      <c r="D112" s="4" t="s">
        <v>48</v>
      </c>
      <c r="E112" s="4" t="s">
        <v>339</v>
      </c>
      <c r="F112" s="30">
        <v>44724</v>
      </c>
      <c r="G112" s="19" t="s">
        <v>144</v>
      </c>
      <c r="H112" s="19" t="str">
        <f t="shared" ca="1" si="1"/>
        <v>3 Years, 11 Months, 22 Days</v>
      </c>
      <c r="I112" s="4" t="s">
        <v>346</v>
      </c>
      <c r="J112" s="4" t="s">
        <v>146</v>
      </c>
      <c r="K112" s="6">
        <v>1758816770</v>
      </c>
      <c r="L112" s="6">
        <v>1324762642</v>
      </c>
      <c r="M112" s="9">
        <v>58155</v>
      </c>
      <c r="N112" s="4" t="s">
        <v>341</v>
      </c>
      <c r="O112" s="4" t="s">
        <v>129</v>
      </c>
      <c r="P112" s="4" t="s">
        <v>342</v>
      </c>
      <c r="Q112" s="3" t="s">
        <v>32</v>
      </c>
      <c r="R112" s="3" t="s">
        <v>33</v>
      </c>
      <c r="S112" s="4"/>
    </row>
    <row r="113" spans="1:19" ht="17.45">
      <c r="A113" s="3">
        <f>SUBTOTAL(103,$B$4:B113)</f>
        <v>110</v>
      </c>
      <c r="B113" s="8">
        <v>559936</v>
      </c>
      <c r="C113" s="5" t="s">
        <v>347</v>
      </c>
      <c r="D113" s="4" t="s">
        <v>61</v>
      </c>
      <c r="E113" s="4" t="s">
        <v>339</v>
      </c>
      <c r="F113" s="30">
        <v>45992</v>
      </c>
      <c r="G113" s="19" t="s">
        <v>348</v>
      </c>
      <c r="H113" s="19" t="str">
        <f t="shared" ca="1" si="1"/>
        <v>0 Years, 6 Months, 2 Days</v>
      </c>
      <c r="I113" s="4" t="s">
        <v>349</v>
      </c>
      <c r="J113" s="4" t="s">
        <v>350</v>
      </c>
      <c r="K113" s="6">
        <v>1711164259</v>
      </c>
      <c r="L113" s="6" t="s">
        <v>42</v>
      </c>
      <c r="M113" s="9">
        <v>555708</v>
      </c>
      <c r="N113" s="4" t="s">
        <v>351</v>
      </c>
      <c r="O113" s="4" t="s">
        <v>94</v>
      </c>
      <c r="P113" s="4" t="s">
        <v>352</v>
      </c>
      <c r="Q113" s="3" t="s">
        <v>32</v>
      </c>
      <c r="R113" s="3" t="s">
        <v>33</v>
      </c>
      <c r="S113" s="4"/>
    </row>
    <row r="114" spans="1:19" ht="17.45">
      <c r="A114" s="3">
        <f>SUBTOTAL(103,$B$4:B114)</f>
        <v>111</v>
      </c>
      <c r="B114" s="8">
        <v>558696</v>
      </c>
      <c r="C114" s="5" t="s">
        <v>353</v>
      </c>
      <c r="D114" s="4" t="s">
        <v>35</v>
      </c>
      <c r="E114" s="4" t="s">
        <v>339</v>
      </c>
      <c r="F114" s="30">
        <v>45956</v>
      </c>
      <c r="G114" s="19" t="s">
        <v>348</v>
      </c>
      <c r="H114" s="19" t="str">
        <f t="shared" ca="1" si="1"/>
        <v>0 Years, 7 Months, 8 Days</v>
      </c>
      <c r="I114" s="4" t="s">
        <v>354</v>
      </c>
      <c r="J114" s="4" t="s">
        <v>350</v>
      </c>
      <c r="K114" s="6">
        <v>1617350380</v>
      </c>
      <c r="L114" s="6" t="s">
        <v>42</v>
      </c>
      <c r="M114" s="9">
        <v>555708</v>
      </c>
      <c r="N114" s="4" t="s">
        <v>351</v>
      </c>
      <c r="O114" s="4" t="s">
        <v>94</v>
      </c>
      <c r="P114" s="4" t="s">
        <v>352</v>
      </c>
      <c r="Q114" s="3" t="s">
        <v>32</v>
      </c>
      <c r="R114" s="3" t="s">
        <v>33</v>
      </c>
      <c r="S114" s="4"/>
    </row>
    <row r="115" spans="1:19" ht="17.45">
      <c r="A115" s="3">
        <f>SUBTOTAL(103,$B$4:B115)</f>
        <v>112</v>
      </c>
      <c r="B115" s="8">
        <v>559279</v>
      </c>
      <c r="C115" s="5" t="s">
        <v>355</v>
      </c>
      <c r="D115" s="4" t="s">
        <v>38</v>
      </c>
      <c r="E115" s="4" t="s">
        <v>339</v>
      </c>
      <c r="F115" s="30">
        <v>45970</v>
      </c>
      <c r="G115" s="19" t="s">
        <v>348</v>
      </c>
      <c r="H115" s="19" t="str">
        <f t="shared" ca="1" si="1"/>
        <v>0 Years, 6 Months, 25 Days</v>
      </c>
      <c r="I115" s="4" t="s">
        <v>356</v>
      </c>
      <c r="J115" s="4" t="s">
        <v>350</v>
      </c>
      <c r="K115" s="6">
        <v>1521335724</v>
      </c>
      <c r="L115" s="6" t="s">
        <v>42</v>
      </c>
      <c r="M115" s="9">
        <v>555708</v>
      </c>
      <c r="N115" s="4" t="s">
        <v>351</v>
      </c>
      <c r="O115" s="4" t="s">
        <v>94</v>
      </c>
      <c r="P115" s="4" t="s">
        <v>352</v>
      </c>
      <c r="Q115" s="3" t="s">
        <v>32</v>
      </c>
      <c r="R115" s="3" t="s">
        <v>33</v>
      </c>
      <c r="S115" s="4"/>
    </row>
    <row r="116" spans="1:19" ht="17.45">
      <c r="A116" s="3">
        <f>SUBTOTAL(103,$B$4:B116)</f>
        <v>113</v>
      </c>
      <c r="B116" s="8">
        <v>386773</v>
      </c>
      <c r="C116" s="5" t="s">
        <v>357</v>
      </c>
      <c r="D116" s="4" t="s">
        <v>24</v>
      </c>
      <c r="E116" s="4" t="s">
        <v>358</v>
      </c>
      <c r="F116" s="30">
        <v>43344</v>
      </c>
      <c r="G116" s="19" t="s">
        <v>190</v>
      </c>
      <c r="H116" s="19" t="str">
        <f t="shared" ca="1" si="1"/>
        <v>7 Years, 9 Months, 2 Days</v>
      </c>
      <c r="I116" s="4" t="s">
        <v>359</v>
      </c>
      <c r="J116" s="4" t="s">
        <v>28</v>
      </c>
      <c r="K116" s="6">
        <v>1759416909</v>
      </c>
      <c r="L116" s="6">
        <v>1713020539</v>
      </c>
      <c r="M116" s="9">
        <v>1315</v>
      </c>
      <c r="N116" s="4" t="s">
        <v>360</v>
      </c>
      <c r="O116" s="4" t="s">
        <v>61</v>
      </c>
      <c r="P116" s="4" t="s">
        <v>361</v>
      </c>
      <c r="Q116" s="3" t="s">
        <v>32</v>
      </c>
      <c r="R116" s="3" t="s">
        <v>33</v>
      </c>
      <c r="S116" s="4"/>
    </row>
    <row r="117" spans="1:19" ht="17.45">
      <c r="A117" s="3">
        <f>SUBTOTAL(103,$B$4:B117)</f>
        <v>114</v>
      </c>
      <c r="B117" s="8">
        <v>1315</v>
      </c>
      <c r="C117" s="5" t="s">
        <v>360</v>
      </c>
      <c r="D117" s="4" t="s">
        <v>61</v>
      </c>
      <c r="E117" s="4" t="s">
        <v>358</v>
      </c>
      <c r="F117" s="30">
        <v>39450</v>
      </c>
      <c r="G117" s="19" t="s">
        <v>190</v>
      </c>
      <c r="H117" s="19" t="str">
        <f t="shared" ca="1" si="1"/>
        <v>18 Years, 5 Months, 0 Days</v>
      </c>
      <c r="I117" s="4" t="s">
        <v>361</v>
      </c>
      <c r="J117" s="4" t="s">
        <v>28</v>
      </c>
      <c r="K117" s="6">
        <v>1938437326</v>
      </c>
      <c r="L117" s="6">
        <v>1713020528</v>
      </c>
      <c r="M117" s="9">
        <v>1341</v>
      </c>
      <c r="N117" s="4" t="s">
        <v>362</v>
      </c>
      <c r="O117" s="4" t="s">
        <v>363</v>
      </c>
      <c r="P117" s="4" t="s">
        <v>364</v>
      </c>
      <c r="Q117" s="3" t="s">
        <v>32</v>
      </c>
      <c r="R117" s="3" t="s">
        <v>33</v>
      </c>
      <c r="S117" s="4"/>
    </row>
    <row r="118" spans="1:19" ht="17.45">
      <c r="A118" s="3">
        <f>SUBTOTAL(103,$B$4:B118)</f>
        <v>115</v>
      </c>
      <c r="B118" s="8">
        <v>1318</v>
      </c>
      <c r="C118" s="5" t="s">
        <v>365</v>
      </c>
      <c r="D118" s="4" t="s">
        <v>61</v>
      </c>
      <c r="E118" s="4" t="s">
        <v>358</v>
      </c>
      <c r="F118" s="30">
        <v>39904</v>
      </c>
      <c r="G118" s="19" t="s">
        <v>190</v>
      </c>
      <c r="H118" s="19" t="str">
        <f t="shared" ca="1" si="1"/>
        <v>17 Years, 2 Months, 2 Days</v>
      </c>
      <c r="I118" s="4" t="s">
        <v>366</v>
      </c>
      <c r="J118" s="4" t="s">
        <v>28</v>
      </c>
      <c r="K118" s="6">
        <v>1711011990</v>
      </c>
      <c r="L118" s="6">
        <v>1713020527</v>
      </c>
      <c r="M118" s="9">
        <v>1341</v>
      </c>
      <c r="N118" s="4" t="s">
        <v>362</v>
      </c>
      <c r="O118" s="4" t="s">
        <v>363</v>
      </c>
      <c r="P118" s="4" t="s">
        <v>364</v>
      </c>
      <c r="Q118" s="3" t="s">
        <v>32</v>
      </c>
      <c r="R118" s="3" t="s">
        <v>33</v>
      </c>
      <c r="S118" s="4"/>
    </row>
    <row r="119" spans="1:19" ht="17.45">
      <c r="A119" s="3">
        <f>SUBTOTAL(103,$B$4:B119)</f>
        <v>116</v>
      </c>
      <c r="B119" s="8">
        <v>154460</v>
      </c>
      <c r="C119" s="5" t="s">
        <v>367</v>
      </c>
      <c r="D119" s="4" t="s">
        <v>24</v>
      </c>
      <c r="E119" s="4" t="s">
        <v>358</v>
      </c>
      <c r="F119" s="30">
        <v>41979</v>
      </c>
      <c r="G119" s="19" t="s">
        <v>190</v>
      </c>
      <c r="H119" s="19" t="str">
        <f t="shared" ca="1" si="1"/>
        <v>11 Years, 5 Months, 28 Days</v>
      </c>
      <c r="I119" s="4" t="s">
        <v>368</v>
      </c>
      <c r="J119" s="4" t="s">
        <v>28</v>
      </c>
      <c r="K119" s="6">
        <v>1670119767</v>
      </c>
      <c r="L119" s="6">
        <v>1755516545</v>
      </c>
      <c r="M119" s="9">
        <v>1341</v>
      </c>
      <c r="N119" s="4" t="s">
        <v>362</v>
      </c>
      <c r="O119" s="4" t="s">
        <v>363</v>
      </c>
      <c r="P119" s="4" t="s">
        <v>364</v>
      </c>
      <c r="Q119" s="3" t="s">
        <v>32</v>
      </c>
      <c r="R119" s="3" t="s">
        <v>33</v>
      </c>
      <c r="S119" s="4"/>
    </row>
    <row r="120" spans="1:19" ht="17.45">
      <c r="A120" s="3">
        <f>SUBTOTAL(103,$B$4:B120)</f>
        <v>117</v>
      </c>
      <c r="B120" s="8">
        <v>537431</v>
      </c>
      <c r="C120" s="5" t="s">
        <v>369</v>
      </c>
      <c r="D120" s="4" t="s">
        <v>35</v>
      </c>
      <c r="E120" s="4" t="s">
        <v>358</v>
      </c>
      <c r="F120" s="30">
        <v>45088</v>
      </c>
      <c r="G120" s="19" t="s">
        <v>190</v>
      </c>
      <c r="H120" s="19" t="str">
        <f t="shared" ca="1" si="1"/>
        <v>2 Years, 11 Months, 23 Days</v>
      </c>
      <c r="I120" s="4" t="s">
        <v>370</v>
      </c>
      <c r="J120" s="4" t="s">
        <v>28</v>
      </c>
      <c r="K120" s="6">
        <v>1797525859</v>
      </c>
      <c r="L120" s="6" t="s">
        <v>42</v>
      </c>
      <c r="M120" s="9">
        <v>1341</v>
      </c>
      <c r="N120" s="4" t="s">
        <v>362</v>
      </c>
      <c r="O120" s="4" t="s">
        <v>363</v>
      </c>
      <c r="P120" s="4" t="s">
        <v>364</v>
      </c>
      <c r="Q120" s="3" t="s">
        <v>32</v>
      </c>
      <c r="R120" s="3" t="s">
        <v>33</v>
      </c>
      <c r="S120" s="4"/>
    </row>
    <row r="121" spans="1:19" ht="17.45">
      <c r="A121" s="3">
        <f>SUBTOTAL(103,$B$4:B121)</f>
        <v>118</v>
      </c>
      <c r="B121" s="8">
        <v>549372</v>
      </c>
      <c r="C121" s="5" t="s">
        <v>371</v>
      </c>
      <c r="D121" s="4" t="s">
        <v>48</v>
      </c>
      <c r="E121" s="4" t="s">
        <v>358</v>
      </c>
      <c r="F121" s="30">
        <v>45648</v>
      </c>
      <c r="G121" s="19" t="s">
        <v>190</v>
      </c>
      <c r="H121" s="19" t="str">
        <f t="shared" ca="1" si="1"/>
        <v>1 Years, 5 Months, 12 Days</v>
      </c>
      <c r="I121" s="4" t="s">
        <v>372</v>
      </c>
      <c r="J121" s="4" t="s">
        <v>28</v>
      </c>
      <c r="K121" s="6">
        <v>1768620983</v>
      </c>
      <c r="L121" s="6" t="s">
        <v>42</v>
      </c>
      <c r="M121" s="9">
        <v>1341</v>
      </c>
      <c r="N121" s="4" t="s">
        <v>362</v>
      </c>
      <c r="O121" s="4" t="s">
        <v>363</v>
      </c>
      <c r="P121" s="4" t="s">
        <v>364</v>
      </c>
      <c r="Q121" s="3" t="s">
        <v>32</v>
      </c>
      <c r="R121" s="3" t="s">
        <v>33</v>
      </c>
      <c r="S121" s="4"/>
    </row>
    <row r="122" spans="1:19" ht="17.45" customHeight="1">
      <c r="A122" s="3">
        <f>SUBTOTAL(103,$B$4:B122)</f>
        <v>119</v>
      </c>
      <c r="B122" s="8">
        <v>1341</v>
      </c>
      <c r="C122" s="5" t="s">
        <v>362</v>
      </c>
      <c r="D122" s="4" t="s">
        <v>363</v>
      </c>
      <c r="E122" s="4" t="s">
        <v>358</v>
      </c>
      <c r="F122" s="30">
        <v>40725</v>
      </c>
      <c r="G122" s="19" t="s">
        <v>190</v>
      </c>
      <c r="H122" s="19" t="str">
        <f t="shared" ca="1" si="1"/>
        <v>14 Years, 11 Months, 2 Days</v>
      </c>
      <c r="I122" s="4" t="s">
        <v>364</v>
      </c>
      <c r="J122" s="4" t="s">
        <v>28</v>
      </c>
      <c r="K122" s="6">
        <v>1713046540</v>
      </c>
      <c r="L122" s="6"/>
      <c r="M122" s="9"/>
      <c r="N122" s="4" t="s">
        <v>373</v>
      </c>
      <c r="O122" s="4" t="s">
        <v>374</v>
      </c>
      <c r="P122" s="18"/>
      <c r="Q122" s="3" t="s">
        <v>123</v>
      </c>
      <c r="R122" s="3" t="s">
        <v>124</v>
      </c>
      <c r="S122" s="4" t="s">
        <v>375</v>
      </c>
    </row>
    <row r="123" spans="1:19" ht="17.45">
      <c r="A123" s="3">
        <f>SUBTOTAL(103,$B$4:B123)</f>
        <v>120</v>
      </c>
      <c r="B123" s="8">
        <v>396500</v>
      </c>
      <c r="C123" s="5" t="s">
        <v>376</v>
      </c>
      <c r="D123" s="4" t="s">
        <v>35</v>
      </c>
      <c r="E123" s="4" t="s">
        <v>377</v>
      </c>
      <c r="F123" s="30">
        <v>43384</v>
      </c>
      <c r="G123" s="19" t="s">
        <v>26</v>
      </c>
      <c r="H123" s="19" t="str">
        <f t="shared" ca="1" si="1"/>
        <v>7 Years, 7 Months, 23 Days</v>
      </c>
      <c r="I123" s="4" t="s">
        <v>378</v>
      </c>
      <c r="J123" s="4" t="s">
        <v>28</v>
      </c>
      <c r="K123" s="6">
        <v>1681436536</v>
      </c>
      <c r="L123" s="6" t="s">
        <v>42</v>
      </c>
      <c r="M123" s="9">
        <v>313307</v>
      </c>
      <c r="N123" s="4" t="s">
        <v>379</v>
      </c>
      <c r="O123" s="4" t="s">
        <v>61</v>
      </c>
      <c r="P123" s="4" t="s">
        <v>380</v>
      </c>
      <c r="Q123" s="3" t="s">
        <v>32</v>
      </c>
      <c r="R123" s="3" t="s">
        <v>33</v>
      </c>
      <c r="S123" s="4"/>
    </row>
    <row r="124" spans="1:19" ht="17.45">
      <c r="A124" s="3">
        <f>SUBTOTAL(103,$B$4:B124)</f>
        <v>121</v>
      </c>
      <c r="B124" s="8">
        <v>529892</v>
      </c>
      <c r="C124" s="5" t="s">
        <v>381</v>
      </c>
      <c r="D124" s="4" t="s">
        <v>35</v>
      </c>
      <c r="E124" s="4" t="s">
        <v>377</v>
      </c>
      <c r="F124" s="30">
        <v>44762</v>
      </c>
      <c r="G124" s="19" t="s">
        <v>26</v>
      </c>
      <c r="H124" s="19" t="str">
        <f t="shared" ca="1" si="1"/>
        <v>3 Years, 10 Months, 14 Days</v>
      </c>
      <c r="I124" s="4" t="s">
        <v>382</v>
      </c>
      <c r="J124" s="4" t="s">
        <v>28</v>
      </c>
      <c r="K124" s="6">
        <v>1515634214</v>
      </c>
      <c r="L124" s="6">
        <v>1324762707</v>
      </c>
      <c r="M124" s="9">
        <v>313307</v>
      </c>
      <c r="N124" s="4" t="s">
        <v>379</v>
      </c>
      <c r="O124" s="4" t="s">
        <v>61</v>
      </c>
      <c r="P124" s="4" t="s">
        <v>380</v>
      </c>
      <c r="Q124" s="3" t="s">
        <v>32</v>
      </c>
      <c r="R124" s="3" t="s">
        <v>33</v>
      </c>
      <c r="S124" s="4"/>
    </row>
    <row r="125" spans="1:19" ht="17.45">
      <c r="A125" s="3">
        <f>SUBTOTAL(103,$B$4:B125)</f>
        <v>122</v>
      </c>
      <c r="B125" s="8">
        <v>558369</v>
      </c>
      <c r="C125" s="5" t="s">
        <v>383</v>
      </c>
      <c r="D125" s="4" t="s">
        <v>30</v>
      </c>
      <c r="E125" s="4" t="s">
        <v>377</v>
      </c>
      <c r="F125" s="30">
        <v>45945</v>
      </c>
      <c r="G125" s="19" t="s">
        <v>135</v>
      </c>
      <c r="H125" s="19" t="str">
        <f t="shared" ca="1" si="1"/>
        <v>0 Years, 7 Months, 19 Days</v>
      </c>
      <c r="I125" s="4" t="s">
        <v>384</v>
      </c>
      <c r="J125" s="4" t="s">
        <v>137</v>
      </c>
      <c r="K125" s="6">
        <v>1911423048</v>
      </c>
      <c r="L125" s="6" t="s">
        <v>42</v>
      </c>
      <c r="M125" s="9">
        <v>529668</v>
      </c>
      <c r="N125" s="4" t="s">
        <v>228</v>
      </c>
      <c r="O125" s="4" t="s">
        <v>211</v>
      </c>
      <c r="P125" s="4" t="s">
        <v>229</v>
      </c>
      <c r="Q125" s="3" t="s">
        <v>32</v>
      </c>
      <c r="R125" s="3" t="s">
        <v>124</v>
      </c>
      <c r="S125" s="4" t="s">
        <v>377</v>
      </c>
    </row>
    <row r="126" spans="1:19" ht="17.45">
      <c r="A126" s="3">
        <f>SUBTOTAL(103,$B$4:B126)</f>
        <v>123</v>
      </c>
      <c r="B126" s="8">
        <v>559964</v>
      </c>
      <c r="C126" s="5" t="s">
        <v>385</v>
      </c>
      <c r="D126" s="4" t="s">
        <v>106</v>
      </c>
      <c r="E126" s="4" t="s">
        <v>377</v>
      </c>
      <c r="F126" s="30">
        <v>45992</v>
      </c>
      <c r="G126" s="19" t="s">
        <v>26</v>
      </c>
      <c r="H126" s="19" t="str">
        <f t="shared" ca="1" si="1"/>
        <v>0 Years, 6 Months, 2 Days</v>
      </c>
      <c r="I126" s="4" t="s">
        <v>386</v>
      </c>
      <c r="J126" s="4" t="s">
        <v>28</v>
      </c>
      <c r="K126" s="6">
        <v>1833945150</v>
      </c>
      <c r="L126" s="6" t="s">
        <v>42</v>
      </c>
      <c r="M126" s="9">
        <v>540363</v>
      </c>
      <c r="N126" s="4" t="s">
        <v>210</v>
      </c>
      <c r="O126" s="4" t="s">
        <v>211</v>
      </c>
      <c r="P126" s="4" t="s">
        <v>212</v>
      </c>
      <c r="Q126" s="3" t="s">
        <v>123</v>
      </c>
      <c r="R126" s="3" t="s">
        <v>124</v>
      </c>
      <c r="S126" s="4" t="s">
        <v>387</v>
      </c>
    </row>
    <row r="127" spans="1:19" ht="17.45">
      <c r="A127" s="3">
        <f>SUBTOTAL(103,$B$4:B127)</f>
        <v>124</v>
      </c>
      <c r="B127" s="8">
        <v>313307</v>
      </c>
      <c r="C127" s="5" t="s">
        <v>379</v>
      </c>
      <c r="D127" s="4" t="s">
        <v>61</v>
      </c>
      <c r="E127" s="4" t="s">
        <v>377</v>
      </c>
      <c r="F127" s="30">
        <v>42995</v>
      </c>
      <c r="G127" s="19" t="s">
        <v>26</v>
      </c>
      <c r="H127" s="19" t="str">
        <f t="shared" ca="1" si="1"/>
        <v>8 Years, 8 Months, 17 Days</v>
      </c>
      <c r="I127" s="4" t="s">
        <v>380</v>
      </c>
      <c r="J127" s="4" t="s">
        <v>28</v>
      </c>
      <c r="K127" s="6">
        <v>1718253850</v>
      </c>
      <c r="L127" s="6">
        <v>1777717968</v>
      </c>
      <c r="M127" s="9">
        <v>559964</v>
      </c>
      <c r="N127" s="4" t="s">
        <v>385</v>
      </c>
      <c r="O127" s="4" t="s">
        <v>106</v>
      </c>
      <c r="P127" s="4" t="s">
        <v>386</v>
      </c>
      <c r="Q127" s="3" t="s">
        <v>32</v>
      </c>
      <c r="R127" s="3" t="s">
        <v>33</v>
      </c>
      <c r="S127" s="4"/>
    </row>
    <row r="128" spans="1:19" ht="17.45">
      <c r="A128" s="3">
        <f>SUBTOTAL(103,$B$4:B128)</f>
        <v>125</v>
      </c>
      <c r="B128" s="8">
        <v>466506</v>
      </c>
      <c r="C128" s="5" t="s">
        <v>388</v>
      </c>
      <c r="D128" s="4" t="s">
        <v>24</v>
      </c>
      <c r="E128" s="4" t="s">
        <v>377</v>
      </c>
      <c r="F128" s="30">
        <v>43783</v>
      </c>
      <c r="G128" s="19" t="s">
        <v>26</v>
      </c>
      <c r="H128" s="19" t="str">
        <f t="shared" ca="1" si="1"/>
        <v>6 Years, 6 Months, 20 Days</v>
      </c>
      <c r="I128" s="4" t="s">
        <v>389</v>
      </c>
      <c r="J128" s="4" t="s">
        <v>28</v>
      </c>
      <c r="K128" s="6">
        <v>1715374082</v>
      </c>
      <c r="L128" s="6">
        <v>1755516309</v>
      </c>
      <c r="M128" s="9">
        <v>559964</v>
      </c>
      <c r="N128" s="4" t="s">
        <v>385</v>
      </c>
      <c r="O128" s="4" t="s">
        <v>106</v>
      </c>
      <c r="P128" s="4" t="s">
        <v>386</v>
      </c>
      <c r="Q128" s="3" t="s">
        <v>32</v>
      </c>
      <c r="R128" s="3" t="s">
        <v>33</v>
      </c>
      <c r="S128" s="4"/>
    </row>
    <row r="129" spans="1:19" ht="17.45">
      <c r="A129" s="3">
        <f>SUBTOTAL(103,$B$4:B129)</f>
        <v>126</v>
      </c>
      <c r="B129" s="8">
        <v>533833</v>
      </c>
      <c r="C129" s="5" t="s">
        <v>390</v>
      </c>
      <c r="D129" s="4" t="s">
        <v>35</v>
      </c>
      <c r="E129" s="4" t="s">
        <v>377</v>
      </c>
      <c r="F129" s="30">
        <v>44924</v>
      </c>
      <c r="G129" s="19" t="s">
        <v>26</v>
      </c>
      <c r="H129" s="19" t="str">
        <f t="shared" ca="1" si="1"/>
        <v>3 Years, 5 Months, 5 Days</v>
      </c>
      <c r="I129" s="4" t="s">
        <v>391</v>
      </c>
      <c r="J129" s="4" t="s">
        <v>28</v>
      </c>
      <c r="K129" s="6">
        <v>1670635989</v>
      </c>
      <c r="L129" s="6">
        <v>1324762717</v>
      </c>
      <c r="M129" s="9">
        <v>559964</v>
      </c>
      <c r="N129" s="4" t="s">
        <v>385</v>
      </c>
      <c r="O129" s="4" t="s">
        <v>106</v>
      </c>
      <c r="P129" s="4" t="s">
        <v>386</v>
      </c>
      <c r="Q129" s="3" t="s">
        <v>32</v>
      </c>
      <c r="R129" s="3" t="s">
        <v>33</v>
      </c>
      <c r="S129" s="4"/>
    </row>
    <row r="130" spans="1:19" ht="17.45">
      <c r="A130" s="3">
        <f>SUBTOTAL(103,$B$4:B130)</f>
        <v>127</v>
      </c>
      <c r="B130" s="8">
        <v>536975</v>
      </c>
      <c r="C130" s="5" t="s">
        <v>392</v>
      </c>
      <c r="D130" s="4" t="s">
        <v>38</v>
      </c>
      <c r="E130" s="4" t="s">
        <v>377</v>
      </c>
      <c r="F130" s="30">
        <v>45060</v>
      </c>
      <c r="G130" s="19" t="s">
        <v>26</v>
      </c>
      <c r="H130" s="19" t="str">
        <f t="shared" ca="1" si="1"/>
        <v>3 Years, 0 Months, 20 Days</v>
      </c>
      <c r="I130" s="4" t="s">
        <v>393</v>
      </c>
      <c r="J130" s="4" t="s">
        <v>28</v>
      </c>
      <c r="K130" s="6">
        <v>1796476149</v>
      </c>
      <c r="L130" s="6">
        <v>1324762470</v>
      </c>
      <c r="M130" s="9">
        <v>559964</v>
      </c>
      <c r="N130" s="4" t="s">
        <v>385</v>
      </c>
      <c r="O130" s="4" t="s">
        <v>106</v>
      </c>
      <c r="P130" s="4" t="s">
        <v>386</v>
      </c>
      <c r="Q130" s="3" t="s">
        <v>32</v>
      </c>
      <c r="R130" s="3" t="s">
        <v>33</v>
      </c>
      <c r="S130" s="4"/>
    </row>
    <row r="131" spans="1:19" ht="17.45">
      <c r="A131" s="3">
        <f>SUBTOTAL(103,$B$4:B131)</f>
        <v>128</v>
      </c>
      <c r="B131" s="8">
        <v>537249</v>
      </c>
      <c r="C131" s="5" t="s">
        <v>394</v>
      </c>
      <c r="D131" s="4" t="s">
        <v>35</v>
      </c>
      <c r="E131" s="4" t="s">
        <v>377</v>
      </c>
      <c r="F131" s="30">
        <v>45078</v>
      </c>
      <c r="G131" s="19" t="s">
        <v>26</v>
      </c>
      <c r="H131" s="19" t="str">
        <f t="shared" ca="1" si="1"/>
        <v>3 Years, 0 Months, 2 Days</v>
      </c>
      <c r="I131" s="4" t="s">
        <v>395</v>
      </c>
      <c r="J131" s="4" t="s">
        <v>28</v>
      </c>
      <c r="K131" s="6">
        <v>1963450706</v>
      </c>
      <c r="L131" s="6">
        <v>1324762452</v>
      </c>
      <c r="M131" s="9">
        <v>559964</v>
      </c>
      <c r="N131" s="4" t="s">
        <v>385</v>
      </c>
      <c r="O131" s="4" t="s">
        <v>106</v>
      </c>
      <c r="P131" s="4" t="s">
        <v>386</v>
      </c>
      <c r="Q131" s="3" t="s">
        <v>32</v>
      </c>
      <c r="R131" s="3" t="s">
        <v>33</v>
      </c>
      <c r="S131" s="4"/>
    </row>
    <row r="132" spans="1:19" ht="17.45">
      <c r="A132" s="3">
        <f>SUBTOTAL(103,$B$4:B132)</f>
        <v>129</v>
      </c>
      <c r="B132" s="8">
        <v>540422</v>
      </c>
      <c r="C132" s="5" t="s">
        <v>396</v>
      </c>
      <c r="D132" s="4" t="s">
        <v>35</v>
      </c>
      <c r="E132" s="4" t="s">
        <v>377</v>
      </c>
      <c r="F132" s="30">
        <v>45274</v>
      </c>
      <c r="G132" s="19" t="s">
        <v>26</v>
      </c>
      <c r="H132" s="19" t="str">
        <f t="shared" ca="1" si="1"/>
        <v>2 Years, 5 Months, 20 Days</v>
      </c>
      <c r="I132" s="4" t="s">
        <v>397</v>
      </c>
      <c r="J132" s="4" t="s">
        <v>28</v>
      </c>
      <c r="K132" s="6">
        <v>1725630265</v>
      </c>
      <c r="L132" s="6">
        <v>1329645725</v>
      </c>
      <c r="M132" s="9">
        <v>559964</v>
      </c>
      <c r="N132" s="4" t="s">
        <v>385</v>
      </c>
      <c r="O132" s="4" t="s">
        <v>106</v>
      </c>
      <c r="P132" s="4" t="s">
        <v>386</v>
      </c>
      <c r="Q132" s="3" t="s">
        <v>32</v>
      </c>
      <c r="R132" s="3" t="s">
        <v>33</v>
      </c>
      <c r="S132" s="4"/>
    </row>
    <row r="133" spans="1:19" ht="17.45">
      <c r="A133" s="3">
        <f>SUBTOTAL(103,$B$4:B133)</f>
        <v>130</v>
      </c>
      <c r="B133" s="8">
        <v>541186</v>
      </c>
      <c r="C133" s="5" t="s">
        <v>398</v>
      </c>
      <c r="D133" s="4" t="s">
        <v>61</v>
      </c>
      <c r="E133" s="4" t="s">
        <v>377</v>
      </c>
      <c r="F133" s="30">
        <v>45323</v>
      </c>
      <c r="G133" s="19" t="s">
        <v>26</v>
      </c>
      <c r="H133" s="19" t="str">
        <f t="shared" ref="H133:H196" ca="1" si="2">DATEDIF(F133,TODAY(),"Y") &amp; " Years, " &amp; DATEDIF(F133,TODAY(),"YM") &amp; " Months, " &amp; DATEDIF(F133,TODAY(),"MD") &amp; " Days"</f>
        <v>2 Years, 4 Months, 2 Days</v>
      </c>
      <c r="I133" s="4" t="s">
        <v>399</v>
      </c>
      <c r="J133" s="4" t="s">
        <v>28</v>
      </c>
      <c r="K133" s="6">
        <v>1673772400</v>
      </c>
      <c r="L133" s="6">
        <v>1329645900</v>
      </c>
      <c r="M133" s="9">
        <v>559964</v>
      </c>
      <c r="N133" s="4" t="s">
        <v>385</v>
      </c>
      <c r="O133" s="4" t="s">
        <v>106</v>
      </c>
      <c r="P133" s="4" t="s">
        <v>386</v>
      </c>
      <c r="Q133" s="3" t="s">
        <v>32</v>
      </c>
      <c r="R133" s="3" t="s">
        <v>33</v>
      </c>
      <c r="S133" s="4"/>
    </row>
    <row r="134" spans="1:19" ht="17.45">
      <c r="A134" s="3">
        <f>SUBTOTAL(103,$B$4:B134)</f>
        <v>131</v>
      </c>
      <c r="B134" s="8">
        <v>239151</v>
      </c>
      <c r="C134" s="5" t="s">
        <v>400</v>
      </c>
      <c r="D134" s="4" t="s">
        <v>38</v>
      </c>
      <c r="E134" s="4" t="s">
        <v>377</v>
      </c>
      <c r="F134" s="30">
        <v>42456</v>
      </c>
      <c r="G134" s="19" t="s">
        <v>26</v>
      </c>
      <c r="H134" s="19" t="str">
        <f t="shared" ca="1" si="2"/>
        <v>10 Years, 2 Months, 7 Days</v>
      </c>
      <c r="I134" s="4" t="s">
        <v>401</v>
      </c>
      <c r="J134" s="4" t="s">
        <v>28</v>
      </c>
      <c r="K134" s="6">
        <v>1712356616</v>
      </c>
      <c r="L134" s="6"/>
      <c r="M134" s="9">
        <v>313307</v>
      </c>
      <c r="N134" s="4" t="s">
        <v>379</v>
      </c>
      <c r="O134" s="4" t="str">
        <f>VLOOKUP(Table1[[#This Row],[Supervisors'' Enroll]],[1]EmployeeMonthLyStatus!$B$2:$G$2474,6,FALSE)</f>
        <v>Deputy Manager</v>
      </c>
      <c r="P134" s="18" t="s">
        <v>380</v>
      </c>
      <c r="Q134" s="3" t="s">
        <v>32</v>
      </c>
      <c r="R134" s="3" t="s">
        <v>33</v>
      </c>
      <c r="S134" s="4"/>
    </row>
    <row r="135" spans="1:19" ht="17.45">
      <c r="A135" s="3">
        <f>SUBTOTAL(103,$B$4:B135)</f>
        <v>132</v>
      </c>
      <c r="B135" s="8">
        <v>154525</v>
      </c>
      <c r="C135" s="5" t="s">
        <v>402</v>
      </c>
      <c r="D135" s="4" t="s">
        <v>35</v>
      </c>
      <c r="E135" s="4" t="s">
        <v>403</v>
      </c>
      <c r="F135" s="30">
        <v>41979</v>
      </c>
      <c r="G135" s="19" t="s">
        <v>208</v>
      </c>
      <c r="H135" s="19" t="str">
        <f t="shared" ca="1" si="2"/>
        <v>11 Years, 5 Months, 28 Days</v>
      </c>
      <c r="I135" s="4" t="s">
        <v>404</v>
      </c>
      <c r="J135" s="4" t="s">
        <v>28</v>
      </c>
      <c r="K135" s="6">
        <v>1719059560</v>
      </c>
      <c r="L135" s="6">
        <v>1777743318</v>
      </c>
      <c r="M135" s="9">
        <v>1368</v>
      </c>
      <c r="N135" s="4" t="s">
        <v>405</v>
      </c>
      <c r="O135" s="4" t="s">
        <v>61</v>
      </c>
      <c r="P135" s="4" t="s">
        <v>406</v>
      </c>
      <c r="Q135" s="3" t="s">
        <v>32</v>
      </c>
      <c r="R135" s="3" t="s">
        <v>33</v>
      </c>
      <c r="S135" s="4"/>
    </row>
    <row r="136" spans="1:19" ht="17.45">
      <c r="A136" s="3">
        <f>SUBTOTAL(103,$B$4:B136)</f>
        <v>133</v>
      </c>
      <c r="B136" s="8">
        <v>418140</v>
      </c>
      <c r="C136" s="5" t="s">
        <v>407</v>
      </c>
      <c r="D136" s="4" t="s">
        <v>48</v>
      </c>
      <c r="E136" s="4" t="s">
        <v>403</v>
      </c>
      <c r="F136" s="30">
        <v>43446</v>
      </c>
      <c r="G136" s="19" t="s">
        <v>208</v>
      </c>
      <c r="H136" s="19" t="str">
        <f t="shared" ca="1" si="2"/>
        <v>7 Years, 5 Months, 22 Days</v>
      </c>
      <c r="I136" s="4" t="s">
        <v>408</v>
      </c>
      <c r="J136" s="4" t="s">
        <v>28</v>
      </c>
      <c r="K136" s="6">
        <v>1885370537</v>
      </c>
      <c r="L136" s="6" t="s">
        <v>42</v>
      </c>
      <c r="M136" s="9">
        <v>1368</v>
      </c>
      <c r="N136" s="4" t="s">
        <v>405</v>
      </c>
      <c r="O136" s="4" t="s">
        <v>61</v>
      </c>
      <c r="P136" s="4" t="s">
        <v>406</v>
      </c>
      <c r="Q136" s="3" t="s">
        <v>32</v>
      </c>
      <c r="R136" s="3" t="s">
        <v>33</v>
      </c>
      <c r="S136" s="4"/>
    </row>
    <row r="137" spans="1:19" ht="17.45">
      <c r="A137" s="3">
        <f>SUBTOTAL(103,$B$4:B137)</f>
        <v>134</v>
      </c>
      <c r="B137" s="8">
        <v>418141</v>
      </c>
      <c r="C137" s="5" t="s">
        <v>409</v>
      </c>
      <c r="D137" s="4" t="s">
        <v>48</v>
      </c>
      <c r="E137" s="4" t="s">
        <v>403</v>
      </c>
      <c r="F137" s="30">
        <v>43446</v>
      </c>
      <c r="G137" s="19" t="s">
        <v>208</v>
      </c>
      <c r="H137" s="19" t="str">
        <f t="shared" ca="1" si="2"/>
        <v>7 Years, 5 Months, 22 Days</v>
      </c>
      <c r="I137" s="4" t="s">
        <v>410</v>
      </c>
      <c r="J137" s="4" t="s">
        <v>28</v>
      </c>
      <c r="K137" s="6">
        <v>1680887297</v>
      </c>
      <c r="L137" s="6">
        <v>1334762321</v>
      </c>
      <c r="M137" s="9">
        <v>1368</v>
      </c>
      <c r="N137" s="4" t="s">
        <v>405</v>
      </c>
      <c r="O137" s="4" t="s">
        <v>61</v>
      </c>
      <c r="P137" s="4" t="s">
        <v>406</v>
      </c>
      <c r="Q137" s="3" t="s">
        <v>32</v>
      </c>
      <c r="R137" s="3" t="s">
        <v>33</v>
      </c>
      <c r="S137" s="4"/>
    </row>
    <row r="138" spans="1:19" ht="17.45">
      <c r="A138" s="3">
        <f>SUBTOTAL(103,$B$4:B138)</f>
        <v>135</v>
      </c>
      <c r="B138" s="8">
        <v>533458</v>
      </c>
      <c r="C138" s="5" t="s">
        <v>411</v>
      </c>
      <c r="D138" s="4" t="s">
        <v>38</v>
      </c>
      <c r="E138" s="4" t="s">
        <v>403</v>
      </c>
      <c r="F138" s="30">
        <v>44899</v>
      </c>
      <c r="G138" s="19" t="s">
        <v>208</v>
      </c>
      <c r="H138" s="19" t="str">
        <f t="shared" ca="1" si="2"/>
        <v>3 Years, 5 Months, 30 Days</v>
      </c>
      <c r="I138" s="4" t="s">
        <v>412</v>
      </c>
      <c r="J138" s="4" t="s">
        <v>28</v>
      </c>
      <c r="K138" s="6">
        <v>1780272800</v>
      </c>
      <c r="L138" s="6" t="s">
        <v>42</v>
      </c>
      <c r="M138" s="9">
        <v>1368</v>
      </c>
      <c r="N138" s="4" t="s">
        <v>405</v>
      </c>
      <c r="O138" s="4" t="s">
        <v>61</v>
      </c>
      <c r="P138" s="4" t="s">
        <v>406</v>
      </c>
      <c r="Q138" s="3" t="s">
        <v>32</v>
      </c>
      <c r="R138" s="3" t="s">
        <v>33</v>
      </c>
      <c r="S138" s="4"/>
    </row>
    <row r="139" spans="1:19" ht="17.45">
      <c r="A139" s="3">
        <f>SUBTOTAL(103,$B$4:B139)</f>
        <v>136</v>
      </c>
      <c r="B139" s="8">
        <v>513453</v>
      </c>
      <c r="C139" s="5" t="s">
        <v>413</v>
      </c>
      <c r="D139" s="4" t="s">
        <v>38</v>
      </c>
      <c r="E139" s="4" t="s">
        <v>403</v>
      </c>
      <c r="F139" s="30">
        <v>44247</v>
      </c>
      <c r="G139" s="19" t="s">
        <v>208</v>
      </c>
      <c r="H139" s="19" t="str">
        <f t="shared" ca="1" si="2"/>
        <v>5 Years, 3 Months, 14 Days</v>
      </c>
      <c r="I139" s="4" t="s">
        <v>414</v>
      </c>
      <c r="J139" s="4" t="s">
        <v>28</v>
      </c>
      <c r="K139" s="6">
        <v>1797637186</v>
      </c>
      <c r="L139" s="6" t="s">
        <v>42</v>
      </c>
      <c r="M139" s="9">
        <v>154525</v>
      </c>
      <c r="N139" s="4" t="s">
        <v>402</v>
      </c>
      <c r="O139" s="4" t="s">
        <v>35</v>
      </c>
      <c r="P139" s="4" t="s">
        <v>404</v>
      </c>
      <c r="Q139" s="3" t="s">
        <v>32</v>
      </c>
      <c r="R139" s="3" t="s">
        <v>33</v>
      </c>
      <c r="S139" s="4"/>
    </row>
    <row r="140" spans="1:19" ht="17.45">
      <c r="A140" s="3">
        <f>SUBTOTAL(103,$B$4:B140)</f>
        <v>137</v>
      </c>
      <c r="B140" s="8">
        <v>530724</v>
      </c>
      <c r="C140" s="5" t="s">
        <v>415</v>
      </c>
      <c r="D140" s="4" t="s">
        <v>38</v>
      </c>
      <c r="E140" s="4" t="s">
        <v>403</v>
      </c>
      <c r="F140" s="30">
        <v>44805</v>
      </c>
      <c r="G140" s="19" t="s">
        <v>208</v>
      </c>
      <c r="H140" s="19" t="str">
        <f t="shared" ca="1" si="2"/>
        <v>3 Years, 9 Months, 2 Days</v>
      </c>
      <c r="I140" s="4" t="s">
        <v>416</v>
      </c>
      <c r="J140" s="4" t="s">
        <v>28</v>
      </c>
      <c r="K140" s="6">
        <v>1703210756</v>
      </c>
      <c r="L140" s="6" t="s">
        <v>42</v>
      </c>
      <c r="M140" s="9">
        <v>154525</v>
      </c>
      <c r="N140" s="4" t="s">
        <v>402</v>
      </c>
      <c r="O140" s="4" t="s">
        <v>35</v>
      </c>
      <c r="P140" s="4" t="s">
        <v>404</v>
      </c>
      <c r="Q140" s="3" t="s">
        <v>32</v>
      </c>
      <c r="R140" s="3" t="s">
        <v>33</v>
      </c>
      <c r="S140" s="4"/>
    </row>
    <row r="141" spans="1:19" ht="17.45">
      <c r="A141" s="3">
        <f>SUBTOTAL(103,$B$4:B141)</f>
        <v>138</v>
      </c>
      <c r="B141" s="8">
        <v>536479</v>
      </c>
      <c r="C141" s="5" t="s">
        <v>417</v>
      </c>
      <c r="D141" s="4" t="s">
        <v>38</v>
      </c>
      <c r="E141" s="4" t="s">
        <v>403</v>
      </c>
      <c r="F141" s="30">
        <v>45020</v>
      </c>
      <c r="G141" s="19" t="s">
        <v>208</v>
      </c>
      <c r="H141" s="19" t="str">
        <f t="shared" ca="1" si="2"/>
        <v>3 Years, 1 Months, 30 Days</v>
      </c>
      <c r="I141" s="4" t="s">
        <v>418</v>
      </c>
      <c r="J141" s="4" t="s">
        <v>28</v>
      </c>
      <c r="K141" s="6">
        <v>1770598750</v>
      </c>
      <c r="L141" s="6" t="s">
        <v>42</v>
      </c>
      <c r="M141" s="9">
        <v>154525</v>
      </c>
      <c r="N141" s="4" t="s">
        <v>402</v>
      </c>
      <c r="O141" s="4" t="s">
        <v>35</v>
      </c>
      <c r="P141" s="4" t="s">
        <v>404</v>
      </c>
      <c r="Q141" s="3" t="s">
        <v>32</v>
      </c>
      <c r="R141" s="3" t="s">
        <v>33</v>
      </c>
      <c r="S141" s="4"/>
    </row>
    <row r="142" spans="1:19" ht="17.45">
      <c r="A142" s="3">
        <f>SUBTOTAL(103,$B$4:B142)</f>
        <v>139</v>
      </c>
      <c r="B142" s="8">
        <v>541708</v>
      </c>
      <c r="C142" s="5" t="s">
        <v>419</v>
      </c>
      <c r="D142" s="4" t="s">
        <v>38</v>
      </c>
      <c r="E142" s="4" t="s">
        <v>403</v>
      </c>
      <c r="F142" s="30">
        <v>45335</v>
      </c>
      <c r="G142" s="19" t="s">
        <v>208</v>
      </c>
      <c r="H142" s="19" t="str">
        <f t="shared" ca="1" si="2"/>
        <v>2 Years, 3 Months, 21 Days</v>
      </c>
      <c r="I142" s="4" t="s">
        <v>420</v>
      </c>
      <c r="J142" s="4" t="s">
        <v>28</v>
      </c>
      <c r="K142" s="6">
        <v>1723343260</v>
      </c>
      <c r="L142" s="6" t="s">
        <v>42</v>
      </c>
      <c r="M142" s="9">
        <v>154525</v>
      </c>
      <c r="N142" s="4" t="s">
        <v>402</v>
      </c>
      <c r="O142" s="4" t="s">
        <v>35</v>
      </c>
      <c r="P142" s="4" t="s">
        <v>404</v>
      </c>
      <c r="Q142" s="3" t="s">
        <v>32</v>
      </c>
      <c r="R142" s="3" t="s">
        <v>33</v>
      </c>
      <c r="S142" s="4"/>
    </row>
    <row r="143" spans="1:19" ht="17.45">
      <c r="A143" s="3">
        <f>SUBTOTAL(103,$B$4:B143)</f>
        <v>140</v>
      </c>
      <c r="B143" s="8">
        <v>502210</v>
      </c>
      <c r="C143" s="5" t="s">
        <v>421</v>
      </c>
      <c r="D143" s="4" t="s">
        <v>38</v>
      </c>
      <c r="E143" s="4" t="s">
        <v>403</v>
      </c>
      <c r="F143" s="30">
        <v>44137</v>
      </c>
      <c r="G143" s="19" t="s">
        <v>208</v>
      </c>
      <c r="H143" s="19" t="str">
        <f t="shared" ca="1" si="2"/>
        <v>5 Years, 7 Months, 1 Days</v>
      </c>
      <c r="I143" s="4" t="s">
        <v>422</v>
      </c>
      <c r="J143" s="4" t="s">
        <v>28</v>
      </c>
      <c r="K143" s="6">
        <v>1637847676</v>
      </c>
      <c r="L143" s="6">
        <v>1334762332</v>
      </c>
      <c r="M143" s="9">
        <v>418140</v>
      </c>
      <c r="N143" s="4" t="s">
        <v>407</v>
      </c>
      <c r="O143" s="4" t="s">
        <v>48</v>
      </c>
      <c r="P143" s="4" t="s">
        <v>408</v>
      </c>
      <c r="Q143" s="3" t="s">
        <v>32</v>
      </c>
      <c r="R143" s="3" t="s">
        <v>33</v>
      </c>
      <c r="S143" s="4"/>
    </row>
    <row r="144" spans="1:19" ht="17.45">
      <c r="A144" s="3">
        <f>SUBTOTAL(103,$B$4:B144)</f>
        <v>141</v>
      </c>
      <c r="B144" s="8">
        <v>1368</v>
      </c>
      <c r="C144" s="5" t="s">
        <v>405</v>
      </c>
      <c r="D144" s="4" t="s">
        <v>61</v>
      </c>
      <c r="E144" s="4" t="s">
        <v>403</v>
      </c>
      <c r="F144" s="30">
        <v>39486</v>
      </c>
      <c r="G144" s="19" t="s">
        <v>208</v>
      </c>
      <c r="H144" s="19" t="str">
        <f t="shared" ca="1" si="2"/>
        <v>18 Years, 3 Months, 26 Days</v>
      </c>
      <c r="I144" s="4" t="s">
        <v>406</v>
      </c>
      <c r="J144" s="4" t="s">
        <v>28</v>
      </c>
      <c r="K144" s="6">
        <v>1755524934</v>
      </c>
      <c r="L144" s="6">
        <v>1755524934</v>
      </c>
      <c r="M144" s="8">
        <v>540363</v>
      </c>
      <c r="N144" s="4" t="s">
        <v>210</v>
      </c>
      <c r="O144" s="4" t="s">
        <v>211</v>
      </c>
      <c r="P144" s="4" t="s">
        <v>212</v>
      </c>
      <c r="Q144" s="3" t="s">
        <v>32</v>
      </c>
      <c r="R144" s="3" t="s">
        <v>124</v>
      </c>
      <c r="S144" s="4" t="s">
        <v>423</v>
      </c>
    </row>
    <row r="145" spans="1:19" ht="17.45">
      <c r="A145" s="3">
        <f>SUBTOTAL(103,$B$4:B145)</f>
        <v>142</v>
      </c>
      <c r="B145" s="8">
        <v>75101</v>
      </c>
      <c r="C145" s="5" t="s">
        <v>424</v>
      </c>
      <c r="D145" s="4" t="s">
        <v>30</v>
      </c>
      <c r="E145" s="4" t="s">
        <v>425</v>
      </c>
      <c r="F145" s="30">
        <v>41360</v>
      </c>
      <c r="G145" s="19" t="s">
        <v>190</v>
      </c>
      <c r="H145" s="19" t="str">
        <f t="shared" ca="1" si="2"/>
        <v>13 Years, 2 Months, 7 Days</v>
      </c>
      <c r="I145" s="4" t="s">
        <v>426</v>
      </c>
      <c r="J145" s="4" t="s">
        <v>28</v>
      </c>
      <c r="K145" s="6">
        <v>1751825454</v>
      </c>
      <c r="L145" s="6">
        <v>1777743591</v>
      </c>
      <c r="M145" s="9">
        <v>549569</v>
      </c>
      <c r="N145" s="4" t="s">
        <v>427</v>
      </c>
      <c r="O145" s="4" t="s">
        <v>129</v>
      </c>
      <c r="P145" s="4" t="s">
        <v>428</v>
      </c>
      <c r="Q145" s="3" t="s">
        <v>32</v>
      </c>
      <c r="R145" s="3" t="s">
        <v>33</v>
      </c>
      <c r="S145" s="4"/>
    </row>
    <row r="146" spans="1:19" ht="17.45">
      <c r="A146" s="3">
        <f>SUBTOTAL(103,$B$4:B146)</f>
        <v>143</v>
      </c>
      <c r="B146" s="8">
        <v>551033</v>
      </c>
      <c r="C146" s="5" t="s">
        <v>429</v>
      </c>
      <c r="D146" s="4" t="s">
        <v>48</v>
      </c>
      <c r="E146" s="4" t="s">
        <v>425</v>
      </c>
      <c r="F146" s="30">
        <v>45706</v>
      </c>
      <c r="G146" s="19" t="s">
        <v>26</v>
      </c>
      <c r="H146" s="19" t="str">
        <f t="shared" ca="1" si="2"/>
        <v>1 Years, 3 Months, 16 Days</v>
      </c>
      <c r="I146" s="4" t="s">
        <v>430</v>
      </c>
      <c r="J146" s="4" t="s">
        <v>28</v>
      </c>
      <c r="K146" s="6">
        <v>1740122871</v>
      </c>
      <c r="L146" s="6" t="s">
        <v>42</v>
      </c>
      <c r="M146" s="9">
        <v>549569</v>
      </c>
      <c r="N146" s="4" t="s">
        <v>427</v>
      </c>
      <c r="O146" s="4" t="s">
        <v>129</v>
      </c>
      <c r="P146" s="4" t="s">
        <v>428</v>
      </c>
      <c r="Q146" s="3" t="s">
        <v>32</v>
      </c>
      <c r="R146" s="3" t="s">
        <v>33</v>
      </c>
      <c r="S146" s="4"/>
    </row>
    <row r="147" spans="1:19" ht="35.1">
      <c r="A147" s="3">
        <f>SUBTOTAL(103,$B$4:B147)</f>
        <v>144</v>
      </c>
      <c r="B147" s="8">
        <v>549569</v>
      </c>
      <c r="C147" s="5" t="s">
        <v>427</v>
      </c>
      <c r="D147" s="4" t="s">
        <v>129</v>
      </c>
      <c r="E147" s="4" t="s">
        <v>425</v>
      </c>
      <c r="F147" s="30">
        <v>45658</v>
      </c>
      <c r="G147" s="19" t="s">
        <v>26</v>
      </c>
      <c r="H147" s="19" t="str">
        <f t="shared" ca="1" si="2"/>
        <v>1 Years, 5 Months, 2 Days</v>
      </c>
      <c r="I147" s="4" t="s">
        <v>428</v>
      </c>
      <c r="J147" s="4" t="s">
        <v>28</v>
      </c>
      <c r="K147" s="6">
        <v>1756198297</v>
      </c>
      <c r="L147" s="6" t="s">
        <v>42</v>
      </c>
      <c r="M147" s="14">
        <v>540363</v>
      </c>
      <c r="N147" s="18" t="s">
        <v>210</v>
      </c>
      <c r="O147" s="4" t="str">
        <f>VLOOKUP(Table1[[#This Row],[Supervisors'' Enroll]],[1]EmployeeMonthLyStatus!$B$2:$G$2474,6,FALSE)</f>
        <v>Chief Executive Officer</v>
      </c>
      <c r="P147" s="18" t="s">
        <v>212</v>
      </c>
      <c r="Q147" s="3" t="s">
        <v>123</v>
      </c>
      <c r="R147" s="3" t="s">
        <v>124</v>
      </c>
      <c r="S147" s="4" t="s">
        <v>431</v>
      </c>
    </row>
    <row r="148" spans="1:19" ht="17.45">
      <c r="A148" s="3">
        <f>SUBTOTAL(103,$B$4:B148)</f>
        <v>145</v>
      </c>
      <c r="B148" s="8">
        <v>540938</v>
      </c>
      <c r="C148" s="5" t="s">
        <v>432</v>
      </c>
      <c r="D148" s="4" t="s">
        <v>38</v>
      </c>
      <c r="E148" s="4" t="s">
        <v>433</v>
      </c>
      <c r="F148" s="30">
        <v>45306</v>
      </c>
      <c r="G148" s="19" t="s">
        <v>26</v>
      </c>
      <c r="H148" s="19" t="str">
        <f t="shared" ca="1" si="2"/>
        <v>2 Years, 4 Months, 19 Days</v>
      </c>
      <c r="I148" s="4" t="s">
        <v>434</v>
      </c>
      <c r="J148" s="4" t="s">
        <v>28</v>
      </c>
      <c r="K148" s="6">
        <v>1765232620</v>
      </c>
      <c r="L148" s="6" t="s">
        <v>42</v>
      </c>
      <c r="M148" s="9">
        <v>43086</v>
      </c>
      <c r="N148" s="4" t="s">
        <v>435</v>
      </c>
      <c r="O148" s="4" t="s">
        <v>61</v>
      </c>
      <c r="P148" s="4" t="s">
        <v>436</v>
      </c>
      <c r="Q148" s="3" t="s">
        <v>32</v>
      </c>
      <c r="R148" s="3" t="s">
        <v>33</v>
      </c>
      <c r="S148" s="4"/>
    </row>
    <row r="149" spans="1:19" ht="17.45">
      <c r="A149" s="3">
        <f>SUBTOTAL(103,$B$4:B149)</f>
        <v>146</v>
      </c>
      <c r="B149" s="8">
        <v>1386</v>
      </c>
      <c r="C149" s="5" t="s">
        <v>394</v>
      </c>
      <c r="D149" s="4" t="s">
        <v>24</v>
      </c>
      <c r="E149" s="4" t="s">
        <v>433</v>
      </c>
      <c r="F149" s="30">
        <v>40547</v>
      </c>
      <c r="G149" s="19" t="s">
        <v>190</v>
      </c>
      <c r="H149" s="19" t="str">
        <f t="shared" ca="1" si="2"/>
        <v>15 Years, 4 Months, 30 Days</v>
      </c>
      <c r="I149" s="4" t="s">
        <v>437</v>
      </c>
      <c r="J149" s="4" t="s">
        <v>28</v>
      </c>
      <c r="K149" s="6">
        <v>1732483706</v>
      </c>
      <c r="L149" s="6">
        <v>1777743427</v>
      </c>
      <c r="M149" s="9">
        <v>459597</v>
      </c>
      <c r="N149" s="4" t="s">
        <v>438</v>
      </c>
      <c r="O149" s="4" t="s">
        <v>30</v>
      </c>
      <c r="P149" s="4" t="s">
        <v>439</v>
      </c>
      <c r="Q149" s="3" t="s">
        <v>32</v>
      </c>
      <c r="R149" s="3" t="s">
        <v>33</v>
      </c>
      <c r="S149" s="4"/>
    </row>
    <row r="150" spans="1:19" ht="17.45">
      <c r="A150" s="3">
        <f>SUBTOTAL(103,$B$4:B150)</f>
        <v>147</v>
      </c>
      <c r="B150" s="8">
        <v>43086</v>
      </c>
      <c r="C150" s="5" t="s">
        <v>435</v>
      </c>
      <c r="D150" s="4" t="s">
        <v>61</v>
      </c>
      <c r="E150" s="4" t="s">
        <v>433</v>
      </c>
      <c r="F150" s="30">
        <v>41031</v>
      </c>
      <c r="G150" s="19" t="s">
        <v>26</v>
      </c>
      <c r="H150" s="19" t="str">
        <f t="shared" ca="1" si="2"/>
        <v>14 Years, 1 Months, 1 Days</v>
      </c>
      <c r="I150" s="4" t="s">
        <v>436</v>
      </c>
      <c r="J150" s="4" t="s">
        <v>28</v>
      </c>
      <c r="K150" s="6">
        <v>1823207890</v>
      </c>
      <c r="L150" s="6">
        <v>1755524905</v>
      </c>
      <c r="M150" s="9">
        <v>459597</v>
      </c>
      <c r="N150" s="4" t="s">
        <v>438</v>
      </c>
      <c r="O150" s="4" t="s">
        <v>30</v>
      </c>
      <c r="P150" s="4" t="s">
        <v>439</v>
      </c>
      <c r="Q150" s="3" t="s">
        <v>32</v>
      </c>
      <c r="R150" s="3" t="s">
        <v>33</v>
      </c>
      <c r="S150" s="4"/>
    </row>
    <row r="151" spans="1:19" ht="17.45">
      <c r="A151" s="3">
        <f>SUBTOTAL(103,$B$4:B151)</f>
        <v>148</v>
      </c>
      <c r="B151" s="8">
        <v>459600</v>
      </c>
      <c r="C151" s="5" t="s">
        <v>440</v>
      </c>
      <c r="D151" s="4" t="s">
        <v>48</v>
      </c>
      <c r="E151" s="4" t="s">
        <v>433</v>
      </c>
      <c r="F151" s="30">
        <v>43709</v>
      </c>
      <c r="G151" s="19" t="s">
        <v>190</v>
      </c>
      <c r="H151" s="19" t="str">
        <f t="shared" ca="1" si="2"/>
        <v>6 Years, 9 Months, 2 Days</v>
      </c>
      <c r="I151" s="4" t="s">
        <v>441</v>
      </c>
      <c r="J151" s="4" t="s">
        <v>28</v>
      </c>
      <c r="K151" s="6">
        <v>1686807078</v>
      </c>
      <c r="L151" s="6">
        <v>1755516459</v>
      </c>
      <c r="M151" s="9">
        <v>459597</v>
      </c>
      <c r="N151" s="4" t="s">
        <v>438</v>
      </c>
      <c r="O151" s="4" t="s">
        <v>30</v>
      </c>
      <c r="P151" s="4" t="s">
        <v>439</v>
      </c>
      <c r="Q151" s="3" t="s">
        <v>32</v>
      </c>
      <c r="R151" s="3" t="s">
        <v>33</v>
      </c>
      <c r="S151" s="4"/>
    </row>
    <row r="152" spans="1:19" ht="17.45">
      <c r="A152" s="3">
        <f>SUBTOTAL(103,$B$4:B152)</f>
        <v>149</v>
      </c>
      <c r="B152" s="8">
        <v>465524</v>
      </c>
      <c r="C152" s="5" t="s">
        <v>442</v>
      </c>
      <c r="D152" s="4" t="s">
        <v>48</v>
      </c>
      <c r="E152" s="4" t="s">
        <v>433</v>
      </c>
      <c r="F152" s="30">
        <v>43772</v>
      </c>
      <c r="G152" s="19" t="s">
        <v>190</v>
      </c>
      <c r="H152" s="19" t="str">
        <f t="shared" ca="1" si="2"/>
        <v>6 Years, 7 Months, 0 Days</v>
      </c>
      <c r="I152" s="4" t="s">
        <v>443</v>
      </c>
      <c r="J152" s="4" t="s">
        <v>28</v>
      </c>
      <c r="K152" s="6">
        <v>1977861913</v>
      </c>
      <c r="L152" s="6">
        <v>1713020629</v>
      </c>
      <c r="M152" s="9">
        <v>459597</v>
      </c>
      <c r="N152" s="4" t="s">
        <v>438</v>
      </c>
      <c r="O152" s="4" t="s">
        <v>30</v>
      </c>
      <c r="P152" s="4" t="s">
        <v>439</v>
      </c>
      <c r="Q152" s="3" t="s">
        <v>32</v>
      </c>
      <c r="R152" s="3" t="s">
        <v>33</v>
      </c>
      <c r="S152" s="4"/>
    </row>
    <row r="153" spans="1:19" ht="17.45">
      <c r="A153" s="3">
        <f>SUBTOTAL(103,$B$4:B153)</f>
        <v>150</v>
      </c>
      <c r="B153" s="8">
        <v>510834</v>
      </c>
      <c r="C153" s="5" t="s">
        <v>444</v>
      </c>
      <c r="D153" s="4" t="s">
        <v>48</v>
      </c>
      <c r="E153" s="4" t="s">
        <v>433</v>
      </c>
      <c r="F153" s="30">
        <v>44216</v>
      </c>
      <c r="G153" s="19" t="s">
        <v>26</v>
      </c>
      <c r="H153" s="19" t="str">
        <f t="shared" ca="1" si="2"/>
        <v>5 Years, 4 Months, 14 Days</v>
      </c>
      <c r="I153" s="4" t="s">
        <v>445</v>
      </c>
      <c r="J153" s="4" t="s">
        <v>28</v>
      </c>
      <c r="K153" s="6">
        <v>1938997498</v>
      </c>
      <c r="L153" s="6">
        <v>1755516492</v>
      </c>
      <c r="M153" s="9">
        <v>459597</v>
      </c>
      <c r="N153" s="4" t="s">
        <v>438</v>
      </c>
      <c r="O153" s="4" t="s">
        <v>30</v>
      </c>
      <c r="P153" s="4" t="s">
        <v>439</v>
      </c>
      <c r="Q153" s="3" t="s">
        <v>32</v>
      </c>
      <c r="R153" s="3" t="s">
        <v>33</v>
      </c>
      <c r="S153" s="4"/>
    </row>
    <row r="154" spans="1:19" ht="17.45">
      <c r="A154" s="3">
        <f>SUBTOTAL(103,$B$4:B154)</f>
        <v>151</v>
      </c>
      <c r="B154" s="8">
        <v>525912</v>
      </c>
      <c r="C154" s="5" t="s">
        <v>446</v>
      </c>
      <c r="D154" s="4" t="s">
        <v>48</v>
      </c>
      <c r="E154" s="4" t="s">
        <v>433</v>
      </c>
      <c r="F154" s="30">
        <v>44621</v>
      </c>
      <c r="G154" s="19" t="s">
        <v>190</v>
      </c>
      <c r="H154" s="19" t="str">
        <f t="shared" ca="1" si="2"/>
        <v>4 Years, 3 Months, 2 Days</v>
      </c>
      <c r="I154" s="4" t="s">
        <v>447</v>
      </c>
      <c r="J154" s="4" t="s">
        <v>28</v>
      </c>
      <c r="K154" s="6">
        <v>1768418456</v>
      </c>
      <c r="L154" s="6" t="s">
        <v>42</v>
      </c>
      <c r="M154" s="9">
        <v>459597</v>
      </c>
      <c r="N154" s="4" t="s">
        <v>438</v>
      </c>
      <c r="O154" s="4" t="s">
        <v>30</v>
      </c>
      <c r="P154" s="4" t="s">
        <v>439</v>
      </c>
      <c r="Q154" s="3" t="s">
        <v>32</v>
      </c>
      <c r="R154" s="3" t="s">
        <v>33</v>
      </c>
      <c r="S154" s="4"/>
    </row>
    <row r="155" spans="1:19" ht="17.45">
      <c r="A155" s="3">
        <f>SUBTOTAL(103,$B$4:B155)</f>
        <v>152</v>
      </c>
      <c r="B155" s="8">
        <v>558697</v>
      </c>
      <c r="C155" s="5" t="s">
        <v>448</v>
      </c>
      <c r="D155" s="4" t="s">
        <v>35</v>
      </c>
      <c r="E155" s="4" t="s">
        <v>433</v>
      </c>
      <c r="F155" s="30">
        <v>45956</v>
      </c>
      <c r="G155" s="19" t="s">
        <v>26</v>
      </c>
      <c r="H155" s="19" t="str">
        <f t="shared" ca="1" si="2"/>
        <v>0 Years, 7 Months, 8 Days</v>
      </c>
      <c r="I155" s="4" t="s">
        <v>449</v>
      </c>
      <c r="J155" s="4" t="s">
        <v>28</v>
      </c>
      <c r="K155" s="6">
        <v>1850929699</v>
      </c>
      <c r="L155" s="6" t="s">
        <v>42</v>
      </c>
      <c r="M155" s="9">
        <v>459597</v>
      </c>
      <c r="N155" s="4" t="s">
        <v>438</v>
      </c>
      <c r="O155" s="4" t="s">
        <v>30</v>
      </c>
      <c r="P155" s="4" t="s">
        <v>439</v>
      </c>
      <c r="Q155" s="3" t="s">
        <v>32</v>
      </c>
      <c r="R155" s="3" t="s">
        <v>33</v>
      </c>
      <c r="S155" s="4"/>
    </row>
    <row r="156" spans="1:19" ht="17.45">
      <c r="A156" s="3">
        <f>SUBTOTAL(103,$B$4:B156)</f>
        <v>153</v>
      </c>
      <c r="B156" s="8">
        <v>559930</v>
      </c>
      <c r="C156" s="5" t="s">
        <v>450</v>
      </c>
      <c r="D156" s="4" t="s">
        <v>48</v>
      </c>
      <c r="E156" s="4" t="s">
        <v>433</v>
      </c>
      <c r="F156" s="30">
        <v>45992</v>
      </c>
      <c r="G156" s="19" t="s">
        <v>26</v>
      </c>
      <c r="H156" s="19" t="str">
        <f t="shared" ca="1" si="2"/>
        <v>0 Years, 6 Months, 2 Days</v>
      </c>
      <c r="I156" s="4" t="s">
        <v>451</v>
      </c>
      <c r="J156" s="4" t="s">
        <v>28</v>
      </c>
      <c r="K156" s="6">
        <v>1918982965</v>
      </c>
      <c r="L156" s="6" t="s">
        <v>42</v>
      </c>
      <c r="M156" s="9">
        <v>459597</v>
      </c>
      <c r="N156" s="4" t="s">
        <v>438</v>
      </c>
      <c r="O156" s="4" t="s">
        <v>30</v>
      </c>
      <c r="P156" s="4" t="s">
        <v>439</v>
      </c>
      <c r="Q156" s="3" t="s">
        <v>32</v>
      </c>
      <c r="R156" s="3" t="s">
        <v>33</v>
      </c>
      <c r="S156" s="4"/>
    </row>
    <row r="157" spans="1:19" ht="17.45">
      <c r="A157" s="3">
        <f>SUBTOTAL(103,$B$4:B157)</f>
        <v>154</v>
      </c>
      <c r="B157" s="8">
        <v>561227</v>
      </c>
      <c r="C157" s="5" t="s">
        <v>452</v>
      </c>
      <c r="D157" s="4" t="s">
        <v>35</v>
      </c>
      <c r="E157" s="4" t="s">
        <v>433</v>
      </c>
      <c r="F157" s="30">
        <v>46034</v>
      </c>
      <c r="G157" s="19" t="s">
        <v>152</v>
      </c>
      <c r="H157" s="19" t="str">
        <f t="shared" ca="1" si="2"/>
        <v>0 Years, 4 Months, 22 Days</v>
      </c>
      <c r="I157" s="4" t="s">
        <v>453</v>
      </c>
      <c r="J157" s="4" t="s">
        <v>154</v>
      </c>
      <c r="K157" s="6"/>
      <c r="L157" s="6"/>
      <c r="M157" s="9">
        <v>527823</v>
      </c>
      <c r="N157" s="4" t="s">
        <v>268</v>
      </c>
      <c r="O157" s="4" t="s">
        <v>250</v>
      </c>
      <c r="P157" s="4" t="s">
        <v>269</v>
      </c>
      <c r="Q157" s="3" t="s">
        <v>32</v>
      </c>
      <c r="R157" s="3" t="s">
        <v>33</v>
      </c>
      <c r="S157" s="4"/>
    </row>
    <row r="158" spans="1:19" ht="17.45">
      <c r="A158" s="3">
        <f>SUBTOTAL(103,$B$4:B158)</f>
        <v>155</v>
      </c>
      <c r="B158" s="8">
        <v>552393</v>
      </c>
      <c r="C158" s="5" t="s">
        <v>454</v>
      </c>
      <c r="D158" s="4" t="s">
        <v>24</v>
      </c>
      <c r="E158" s="4" t="s">
        <v>433</v>
      </c>
      <c r="F158" s="30">
        <v>45767</v>
      </c>
      <c r="G158" s="19" t="s">
        <v>144</v>
      </c>
      <c r="H158" s="19" t="str">
        <f t="shared" ca="1" si="2"/>
        <v>1 Years, 1 Months, 14 Days</v>
      </c>
      <c r="I158" s="4" t="s">
        <v>455</v>
      </c>
      <c r="J158" s="4" t="s">
        <v>146</v>
      </c>
      <c r="K158" s="6">
        <v>1626659096</v>
      </c>
      <c r="L158" s="6" t="s">
        <v>42</v>
      </c>
      <c r="M158" s="9">
        <v>549170</v>
      </c>
      <c r="N158" s="4" t="s">
        <v>256</v>
      </c>
      <c r="O158" s="4" t="s">
        <v>30</v>
      </c>
      <c r="P158" s="4" t="s">
        <v>257</v>
      </c>
      <c r="Q158" s="3" t="s">
        <v>32</v>
      </c>
      <c r="R158" s="3" t="s">
        <v>33</v>
      </c>
      <c r="S158" s="4"/>
    </row>
    <row r="159" spans="1:19" ht="17.45">
      <c r="A159" s="3">
        <f>SUBTOTAL(103,$B$4:B159)</f>
        <v>156</v>
      </c>
      <c r="B159" s="8">
        <v>459597</v>
      </c>
      <c r="C159" s="5" t="s">
        <v>438</v>
      </c>
      <c r="D159" s="4" t="s">
        <v>30</v>
      </c>
      <c r="E159" s="4" t="s">
        <v>433</v>
      </c>
      <c r="F159" s="30">
        <v>43709</v>
      </c>
      <c r="G159" s="19" t="s">
        <v>26</v>
      </c>
      <c r="H159" s="19" t="str">
        <f t="shared" ca="1" si="2"/>
        <v>6 Years, 9 Months, 2 Days</v>
      </c>
      <c r="I159" s="4" t="s">
        <v>439</v>
      </c>
      <c r="J159" s="4" t="s">
        <v>28</v>
      </c>
      <c r="K159" s="6">
        <v>1709000588</v>
      </c>
      <c r="L159" s="6">
        <v>1755524935</v>
      </c>
      <c r="M159" s="14"/>
      <c r="N159" s="18" t="s">
        <v>175</v>
      </c>
      <c r="O159" s="4" t="s">
        <v>175</v>
      </c>
      <c r="P159" s="4" t="s">
        <v>175</v>
      </c>
      <c r="Q159" s="3" t="s">
        <v>32</v>
      </c>
      <c r="R159" s="3" t="s">
        <v>124</v>
      </c>
      <c r="S159" s="4" t="s">
        <v>456</v>
      </c>
    </row>
    <row r="160" spans="1:19" ht="17.45">
      <c r="A160" s="3">
        <f>SUBTOTAL(103,$B$4:B160)</f>
        <v>157</v>
      </c>
      <c r="B160" s="8">
        <v>1356</v>
      </c>
      <c r="C160" s="5" t="s">
        <v>233</v>
      </c>
      <c r="D160" s="4" t="s">
        <v>457</v>
      </c>
      <c r="E160" s="4" t="s">
        <v>458</v>
      </c>
      <c r="F160" s="30">
        <v>40104</v>
      </c>
      <c r="G160" s="19" t="s">
        <v>56</v>
      </c>
      <c r="H160" s="19" t="str">
        <f t="shared" ca="1" si="2"/>
        <v>16 Years, 7 Months, 16 Days</v>
      </c>
      <c r="I160" s="4" t="s">
        <v>234</v>
      </c>
      <c r="J160" s="4" t="s">
        <v>58</v>
      </c>
      <c r="K160" s="6">
        <v>1912027058</v>
      </c>
      <c r="L160" s="6">
        <v>1755516500</v>
      </c>
      <c r="M160" s="9">
        <v>540363</v>
      </c>
      <c r="N160" s="4" t="s">
        <v>210</v>
      </c>
      <c r="O160" s="4" t="s">
        <v>211</v>
      </c>
      <c r="P160" s="4" t="s">
        <v>212</v>
      </c>
      <c r="Q160" s="3" t="s">
        <v>123</v>
      </c>
      <c r="R160" s="3" t="s">
        <v>124</v>
      </c>
      <c r="S160" s="4" t="s">
        <v>459</v>
      </c>
    </row>
    <row r="161" spans="1:19" ht="17.45">
      <c r="A161" s="3">
        <f>SUBTOTAL(103,$B$4:B161)</f>
        <v>158</v>
      </c>
      <c r="B161" s="8">
        <v>264671</v>
      </c>
      <c r="C161" s="5" t="s">
        <v>460</v>
      </c>
      <c r="D161" s="4" t="s">
        <v>24</v>
      </c>
      <c r="E161" s="4" t="s">
        <v>461</v>
      </c>
      <c r="F161" s="30">
        <v>42609</v>
      </c>
      <c r="G161" s="19" t="s">
        <v>26</v>
      </c>
      <c r="H161" s="19" t="str">
        <f t="shared" ca="1" si="2"/>
        <v>9 Years, 9 Months, 7 Days</v>
      </c>
      <c r="I161" s="4" t="s">
        <v>462</v>
      </c>
      <c r="J161" s="4" t="s">
        <v>28</v>
      </c>
      <c r="K161" s="6">
        <v>1632860244</v>
      </c>
      <c r="L161" s="6">
        <v>1777718007</v>
      </c>
      <c r="M161" s="9">
        <v>111295</v>
      </c>
      <c r="N161" s="4" t="s">
        <v>463</v>
      </c>
      <c r="O161" s="4" t="s">
        <v>464</v>
      </c>
      <c r="P161" s="16" t="s">
        <v>465</v>
      </c>
      <c r="Q161" s="3" t="s">
        <v>32</v>
      </c>
      <c r="R161" s="3" t="s">
        <v>33</v>
      </c>
      <c r="S161" s="4"/>
    </row>
    <row r="162" spans="1:19" ht="17.45">
      <c r="A162" s="3">
        <f>SUBTOTAL(103,$B$4:B162)</f>
        <v>159</v>
      </c>
      <c r="B162" s="8">
        <v>376137</v>
      </c>
      <c r="C162" s="5" t="s">
        <v>466</v>
      </c>
      <c r="D162" s="4" t="s">
        <v>35</v>
      </c>
      <c r="E162" s="4" t="s">
        <v>461</v>
      </c>
      <c r="F162" s="30">
        <v>43254</v>
      </c>
      <c r="G162" s="19" t="s">
        <v>26</v>
      </c>
      <c r="H162" s="19" t="str">
        <f t="shared" ca="1" si="2"/>
        <v>8 Years, 0 Months, 0 Days</v>
      </c>
      <c r="I162" s="4" t="s">
        <v>467</v>
      </c>
      <c r="J162" s="4" t="s">
        <v>28</v>
      </c>
      <c r="K162" s="6">
        <v>1716915024</v>
      </c>
      <c r="L162" s="6">
        <v>1777743420</v>
      </c>
      <c r="M162" s="9">
        <v>111295</v>
      </c>
      <c r="N162" s="4" t="s">
        <v>463</v>
      </c>
      <c r="O162" s="4" t="s">
        <v>464</v>
      </c>
      <c r="P162" s="16" t="s">
        <v>465</v>
      </c>
      <c r="Q162" s="3" t="s">
        <v>32</v>
      </c>
      <c r="R162" s="3" t="s">
        <v>33</v>
      </c>
      <c r="S162" s="4"/>
    </row>
    <row r="163" spans="1:19" ht="17.45">
      <c r="A163" s="3">
        <f>SUBTOTAL(103,$B$4:B163)</f>
        <v>160</v>
      </c>
      <c r="B163" s="8">
        <v>557223</v>
      </c>
      <c r="C163" s="5" t="s">
        <v>468</v>
      </c>
      <c r="D163" s="4" t="s">
        <v>61</v>
      </c>
      <c r="E163" s="4" t="s">
        <v>461</v>
      </c>
      <c r="F163" s="30">
        <v>45915</v>
      </c>
      <c r="G163" s="19" t="s">
        <v>190</v>
      </c>
      <c r="H163" s="19" t="str">
        <f t="shared" ca="1" si="2"/>
        <v>0 Years, 8 Months, 19 Days</v>
      </c>
      <c r="I163" s="4" t="s">
        <v>469</v>
      </c>
      <c r="J163" s="4" t="s">
        <v>28</v>
      </c>
      <c r="K163" s="6">
        <v>1820116872</v>
      </c>
      <c r="L163" s="6" t="s">
        <v>42</v>
      </c>
      <c r="M163" s="9">
        <v>533137</v>
      </c>
      <c r="N163" s="4" t="s">
        <v>285</v>
      </c>
      <c r="O163" s="4" t="s">
        <v>286</v>
      </c>
      <c r="P163" s="4" t="s">
        <v>287</v>
      </c>
      <c r="Q163" s="3" t="s">
        <v>32</v>
      </c>
      <c r="R163" s="3" t="s">
        <v>33</v>
      </c>
      <c r="S163" s="4"/>
    </row>
    <row r="164" spans="1:19" ht="17.45">
      <c r="A164" s="3">
        <f>SUBTOTAL(103,$B$4:B164)</f>
        <v>161</v>
      </c>
      <c r="B164" s="8">
        <v>561938</v>
      </c>
      <c r="C164" s="5" t="s">
        <v>470</v>
      </c>
      <c r="D164" s="4" t="s">
        <v>38</v>
      </c>
      <c r="E164" s="4" t="s">
        <v>461</v>
      </c>
      <c r="F164" s="30">
        <v>46051</v>
      </c>
      <c r="G164" s="19" t="s">
        <v>471</v>
      </c>
      <c r="H164" s="19" t="str">
        <f t="shared" ca="1" si="2"/>
        <v>0 Years, 4 Months, 5 Days</v>
      </c>
      <c r="I164" s="4" t="s">
        <v>472</v>
      </c>
      <c r="J164" s="4" t="s">
        <v>473</v>
      </c>
      <c r="K164" s="6" t="s">
        <v>474</v>
      </c>
      <c r="L164" s="6"/>
      <c r="M164" s="9">
        <v>557164</v>
      </c>
      <c r="N164" s="4" t="s">
        <v>475</v>
      </c>
      <c r="O164" s="4" t="s">
        <v>30</v>
      </c>
      <c r="P164" s="4" t="s">
        <v>476</v>
      </c>
      <c r="Q164" s="3" t="s">
        <v>32</v>
      </c>
      <c r="R164" s="3" t="s">
        <v>33</v>
      </c>
      <c r="S164" s="4"/>
    </row>
    <row r="165" spans="1:19" ht="17.45">
      <c r="A165" s="3">
        <f>SUBTOTAL(103,$B$4:B165)</f>
        <v>162</v>
      </c>
      <c r="B165" s="8">
        <v>562559</v>
      </c>
      <c r="C165" s="5" t="s">
        <v>477</v>
      </c>
      <c r="D165" s="4" t="s">
        <v>35</v>
      </c>
      <c r="E165" s="4" t="s">
        <v>461</v>
      </c>
      <c r="F165" s="30">
        <v>46068</v>
      </c>
      <c r="G165" s="19" t="s">
        <v>471</v>
      </c>
      <c r="H165" s="19" t="str">
        <f t="shared" ca="1" si="2"/>
        <v>0 Years, 3 Months, 19 Days</v>
      </c>
      <c r="I165" s="4" t="s">
        <v>478</v>
      </c>
      <c r="J165" s="4" t="s">
        <v>473</v>
      </c>
      <c r="K165" s="6" t="s">
        <v>479</v>
      </c>
      <c r="L165" s="6"/>
      <c r="M165" s="9">
        <v>557164</v>
      </c>
      <c r="N165" s="4" t="s">
        <v>475</v>
      </c>
      <c r="O165" s="4" t="s">
        <v>30</v>
      </c>
      <c r="P165" s="4" t="s">
        <v>476</v>
      </c>
      <c r="Q165" s="3" t="s">
        <v>32</v>
      </c>
      <c r="R165" s="3" t="s">
        <v>33</v>
      </c>
      <c r="S165" s="4"/>
    </row>
    <row r="166" spans="1:19" ht="17.45">
      <c r="A166" s="3">
        <f>SUBTOTAL(103,$B$4:B166)</f>
        <v>163</v>
      </c>
      <c r="B166" s="8">
        <v>559633</v>
      </c>
      <c r="C166" s="5" t="s">
        <v>480</v>
      </c>
      <c r="D166" s="4" t="s">
        <v>24</v>
      </c>
      <c r="E166" s="4" t="s">
        <v>461</v>
      </c>
      <c r="F166" s="30">
        <v>45985</v>
      </c>
      <c r="G166" s="19" t="s">
        <v>26</v>
      </c>
      <c r="H166" s="19" t="str">
        <f t="shared" ca="1" si="2"/>
        <v>0 Years, 6 Months, 10 Days</v>
      </c>
      <c r="I166" s="4" t="s">
        <v>481</v>
      </c>
      <c r="J166" s="4" t="s">
        <v>28</v>
      </c>
      <c r="K166" s="6">
        <v>1784563439</v>
      </c>
      <c r="L166" s="6" t="s">
        <v>42</v>
      </c>
      <c r="M166" s="9">
        <v>557223</v>
      </c>
      <c r="N166" s="4" t="s">
        <v>468</v>
      </c>
      <c r="O166" s="4" t="s">
        <v>61</v>
      </c>
      <c r="P166" s="4" t="s">
        <v>469</v>
      </c>
      <c r="Q166" s="3" t="s">
        <v>32</v>
      </c>
      <c r="R166" s="3" t="s">
        <v>33</v>
      </c>
      <c r="S166" s="4"/>
    </row>
    <row r="167" spans="1:19" ht="17.45">
      <c r="A167" s="3">
        <f>SUBTOTAL(103,$B$4:B167)</f>
        <v>164</v>
      </c>
      <c r="B167" s="8">
        <v>559962</v>
      </c>
      <c r="C167" s="5" t="s">
        <v>482</v>
      </c>
      <c r="D167" s="4" t="s">
        <v>48</v>
      </c>
      <c r="E167" s="4" t="s">
        <v>461</v>
      </c>
      <c r="F167" s="30">
        <v>45992</v>
      </c>
      <c r="G167" s="19" t="s">
        <v>26</v>
      </c>
      <c r="H167" s="19" t="str">
        <f t="shared" ca="1" si="2"/>
        <v>0 Years, 6 Months, 2 Days</v>
      </c>
      <c r="I167" s="4" t="s">
        <v>483</v>
      </c>
      <c r="J167" s="4" t="s">
        <v>28</v>
      </c>
      <c r="K167" s="6">
        <v>1622445063</v>
      </c>
      <c r="L167" s="6" t="s">
        <v>42</v>
      </c>
      <c r="M167" s="9">
        <v>557223</v>
      </c>
      <c r="N167" s="4" t="s">
        <v>468</v>
      </c>
      <c r="O167" s="4" t="s">
        <v>61</v>
      </c>
      <c r="P167" s="4" t="s">
        <v>469</v>
      </c>
      <c r="Q167" s="3" t="s">
        <v>32</v>
      </c>
      <c r="R167" s="3" t="s">
        <v>33</v>
      </c>
      <c r="S167" s="4"/>
    </row>
    <row r="168" spans="1:19" ht="17.45">
      <c r="A168" s="3">
        <f>SUBTOTAL(103,$B$4:B168)</f>
        <v>165</v>
      </c>
      <c r="B168" s="8">
        <v>560019</v>
      </c>
      <c r="C168" s="5" t="s">
        <v>484</v>
      </c>
      <c r="D168" s="4" t="s">
        <v>48</v>
      </c>
      <c r="E168" s="4" t="s">
        <v>461</v>
      </c>
      <c r="F168" s="30">
        <v>45995</v>
      </c>
      <c r="G168" s="19" t="s">
        <v>190</v>
      </c>
      <c r="H168" s="19" t="str">
        <f t="shared" ca="1" si="2"/>
        <v>0 Years, 5 Months, 30 Days</v>
      </c>
      <c r="I168" s="4" t="s">
        <v>485</v>
      </c>
      <c r="J168" s="4" t="s">
        <v>28</v>
      </c>
      <c r="K168" s="6">
        <v>1620191735</v>
      </c>
      <c r="L168" s="6" t="s">
        <v>42</v>
      </c>
      <c r="M168" s="9">
        <v>557223</v>
      </c>
      <c r="N168" s="4" t="s">
        <v>468</v>
      </c>
      <c r="O168" s="4" t="s">
        <v>61</v>
      </c>
      <c r="P168" s="4" t="s">
        <v>469</v>
      </c>
      <c r="Q168" s="3" t="s">
        <v>32</v>
      </c>
      <c r="R168" s="3" t="s">
        <v>33</v>
      </c>
      <c r="S168" s="4"/>
    </row>
    <row r="169" spans="1:19" ht="17.45">
      <c r="A169" s="3">
        <f>SUBTOTAL(103,$B$4:B169)</f>
        <v>166</v>
      </c>
      <c r="B169" s="8">
        <v>561008</v>
      </c>
      <c r="C169" s="5" t="s">
        <v>486</v>
      </c>
      <c r="D169" s="4" t="s">
        <v>24</v>
      </c>
      <c r="E169" s="4" t="s">
        <v>461</v>
      </c>
      <c r="F169" s="30">
        <v>46026</v>
      </c>
      <c r="G169" s="19" t="s">
        <v>190</v>
      </c>
      <c r="H169" s="19" t="str">
        <f t="shared" ca="1" si="2"/>
        <v>0 Years, 4 Months, 30 Days</v>
      </c>
      <c r="I169" s="4" t="s">
        <v>487</v>
      </c>
      <c r="J169" s="4" t="s">
        <v>28</v>
      </c>
      <c r="K169" s="6"/>
      <c r="L169" s="6"/>
      <c r="M169" s="9">
        <v>557223</v>
      </c>
      <c r="N169" s="4" t="s">
        <v>468</v>
      </c>
      <c r="O169" s="4" t="s">
        <v>61</v>
      </c>
      <c r="P169" s="4" t="s">
        <v>469</v>
      </c>
      <c r="Q169" s="3" t="s">
        <v>32</v>
      </c>
      <c r="R169" s="3" t="s">
        <v>33</v>
      </c>
      <c r="S169" s="4"/>
    </row>
    <row r="170" spans="1:19" ht="17.45">
      <c r="A170" s="3">
        <f>SUBTOTAL(103,$B$4:B170)</f>
        <v>167</v>
      </c>
      <c r="B170" s="8">
        <v>561310</v>
      </c>
      <c r="C170" s="5" t="s">
        <v>488</v>
      </c>
      <c r="D170" s="4" t="s">
        <v>24</v>
      </c>
      <c r="E170" s="4" t="s">
        <v>461</v>
      </c>
      <c r="F170" s="30">
        <v>46036</v>
      </c>
      <c r="G170" s="19" t="s">
        <v>190</v>
      </c>
      <c r="H170" s="19" t="str">
        <f t="shared" ca="1" si="2"/>
        <v>0 Years, 4 Months, 20 Days</v>
      </c>
      <c r="I170" s="4" t="s">
        <v>489</v>
      </c>
      <c r="J170" s="4" t="s">
        <v>28</v>
      </c>
      <c r="K170" s="6"/>
      <c r="L170" s="6"/>
      <c r="M170" s="9">
        <v>557223</v>
      </c>
      <c r="N170" s="4" t="s">
        <v>468</v>
      </c>
      <c r="O170" s="4" t="s">
        <v>61</v>
      </c>
      <c r="P170" s="4" t="s">
        <v>469</v>
      </c>
      <c r="Q170" s="3" t="s">
        <v>32</v>
      </c>
      <c r="R170" s="3" t="s">
        <v>33</v>
      </c>
      <c r="S170" s="4"/>
    </row>
    <row r="171" spans="1:19" ht="17.45">
      <c r="A171" s="3">
        <f>SUBTOTAL(103,$B$4:B171)</f>
        <v>168</v>
      </c>
      <c r="B171" s="8">
        <v>562640</v>
      </c>
      <c r="C171" s="5" t="s">
        <v>490</v>
      </c>
      <c r="D171" s="4" t="s">
        <v>48</v>
      </c>
      <c r="E171" s="4" t="s">
        <v>461</v>
      </c>
      <c r="F171" s="30">
        <v>46070</v>
      </c>
      <c r="G171" s="19" t="s">
        <v>190</v>
      </c>
      <c r="H171" s="19" t="str">
        <f t="shared" ca="1" si="2"/>
        <v>0 Years, 3 Months, 17 Days</v>
      </c>
      <c r="I171" s="4" t="s">
        <v>491</v>
      </c>
      <c r="J171" s="4" t="s">
        <v>28</v>
      </c>
      <c r="K171" s="6" t="s">
        <v>492</v>
      </c>
      <c r="L171" s="6"/>
      <c r="M171" s="9">
        <v>557223</v>
      </c>
      <c r="N171" s="4" t="s">
        <v>468</v>
      </c>
      <c r="O171" s="4" t="s">
        <v>61</v>
      </c>
      <c r="P171" s="4" t="s">
        <v>469</v>
      </c>
      <c r="Q171" s="3" t="s">
        <v>32</v>
      </c>
      <c r="R171" s="3" t="s">
        <v>33</v>
      </c>
      <c r="S171" s="4"/>
    </row>
    <row r="172" spans="1:19" ht="17.45">
      <c r="A172" s="3">
        <f>SUBTOTAL(103,$B$4:B172)</f>
        <v>169</v>
      </c>
      <c r="B172" s="8">
        <v>562877</v>
      </c>
      <c r="C172" s="5" t="s">
        <v>493</v>
      </c>
      <c r="D172" s="4" t="s">
        <v>35</v>
      </c>
      <c r="E172" s="4" t="s">
        <v>461</v>
      </c>
      <c r="F172" s="30">
        <v>46079</v>
      </c>
      <c r="G172" s="19" t="s">
        <v>190</v>
      </c>
      <c r="H172" s="19" t="str">
        <f t="shared" ca="1" si="2"/>
        <v>0 Years, 3 Months, 8 Days</v>
      </c>
      <c r="I172" s="4" t="s">
        <v>494</v>
      </c>
      <c r="J172" s="4" t="s">
        <v>28</v>
      </c>
      <c r="K172" s="6" t="s">
        <v>495</v>
      </c>
      <c r="L172" s="6"/>
      <c r="M172" s="9">
        <v>557223</v>
      </c>
      <c r="N172" s="4" t="s">
        <v>468</v>
      </c>
      <c r="O172" s="4" t="s">
        <v>61</v>
      </c>
      <c r="P172" s="4" t="s">
        <v>469</v>
      </c>
      <c r="Q172" s="3" t="s">
        <v>32</v>
      </c>
      <c r="R172" s="3" t="s">
        <v>33</v>
      </c>
      <c r="S172" s="4"/>
    </row>
    <row r="173" spans="1:19" ht="17.45">
      <c r="A173" s="3">
        <f>SUBTOTAL(103,$B$4:B173)</f>
        <v>170</v>
      </c>
      <c r="B173" s="8">
        <v>563279</v>
      </c>
      <c r="C173" s="5" t="s">
        <v>496</v>
      </c>
      <c r="D173" s="4" t="s">
        <v>35</v>
      </c>
      <c r="E173" s="4" t="s">
        <v>461</v>
      </c>
      <c r="F173" s="30">
        <v>46091</v>
      </c>
      <c r="G173" s="19" t="s">
        <v>190</v>
      </c>
      <c r="H173" s="19" t="str">
        <f t="shared" ca="1" si="2"/>
        <v>0 Years, 2 Months, 24 Days</v>
      </c>
      <c r="I173" s="4" t="s">
        <v>497</v>
      </c>
      <c r="J173" s="4" t="s">
        <v>28</v>
      </c>
      <c r="K173" s="6" t="s">
        <v>498</v>
      </c>
      <c r="L173" s="6"/>
      <c r="M173" s="9">
        <v>557223</v>
      </c>
      <c r="N173" s="4" t="s">
        <v>468</v>
      </c>
      <c r="O173" s="4" t="s">
        <v>61</v>
      </c>
      <c r="P173" s="4" t="s">
        <v>469</v>
      </c>
      <c r="Q173" s="3" t="s">
        <v>32</v>
      </c>
      <c r="R173" s="3" t="s">
        <v>33</v>
      </c>
      <c r="S173" s="4"/>
    </row>
    <row r="174" spans="1:19" ht="17.45">
      <c r="A174" s="3">
        <f>SUBTOTAL(103,$B$4:B174)</f>
        <v>171</v>
      </c>
      <c r="B174" s="8">
        <v>563339</v>
      </c>
      <c r="C174" s="5" t="s">
        <v>499</v>
      </c>
      <c r="D174" s="4" t="s">
        <v>35</v>
      </c>
      <c r="E174" s="4" t="s">
        <v>461</v>
      </c>
      <c r="F174" s="30">
        <v>46093</v>
      </c>
      <c r="G174" s="19" t="s">
        <v>190</v>
      </c>
      <c r="H174" s="19" t="str">
        <f t="shared" ca="1" si="2"/>
        <v>0 Years, 2 Months, 22 Days</v>
      </c>
      <c r="I174" s="4" t="s">
        <v>500</v>
      </c>
      <c r="J174" s="4" t="s">
        <v>28</v>
      </c>
      <c r="K174" s="6" t="s">
        <v>501</v>
      </c>
      <c r="L174" s="6"/>
      <c r="M174" s="9">
        <v>557223</v>
      </c>
      <c r="N174" s="4" t="s">
        <v>468</v>
      </c>
      <c r="O174" s="4" t="s">
        <v>61</v>
      </c>
      <c r="P174" s="4" t="s">
        <v>469</v>
      </c>
      <c r="Q174" s="3" t="s">
        <v>32</v>
      </c>
      <c r="R174" s="3" t="s">
        <v>33</v>
      </c>
      <c r="S174" s="4"/>
    </row>
    <row r="175" spans="1:19" ht="17.45">
      <c r="A175" s="3">
        <f>SUBTOTAL(103,$B$4:B175)</f>
        <v>172</v>
      </c>
      <c r="B175" s="8">
        <v>557164</v>
      </c>
      <c r="C175" s="5" t="s">
        <v>475</v>
      </c>
      <c r="D175" s="4" t="s">
        <v>30</v>
      </c>
      <c r="E175" s="4" t="s">
        <v>461</v>
      </c>
      <c r="F175" s="30">
        <v>45914</v>
      </c>
      <c r="G175" s="19" t="s">
        <v>471</v>
      </c>
      <c r="H175" s="19" t="str">
        <f t="shared" ca="1" si="2"/>
        <v>0 Years, 8 Months, 20 Days</v>
      </c>
      <c r="I175" s="4" t="s">
        <v>476</v>
      </c>
      <c r="J175" s="4" t="s">
        <v>473</v>
      </c>
      <c r="K175" s="6">
        <v>1768017455</v>
      </c>
      <c r="L175" s="6" t="s">
        <v>42</v>
      </c>
      <c r="M175" s="9">
        <v>529668</v>
      </c>
      <c r="N175" s="4" t="s">
        <v>228</v>
      </c>
      <c r="O175" s="4" t="str">
        <f>VLOOKUP(Table1[[#This Row],[Supervisors'' Enroll]],[1]EmployeeMonthLyStatus!$B$2:$G$2474,6,FALSE)</f>
        <v>Chief Executive Officer</v>
      </c>
      <c r="P175" s="18" t="s">
        <v>229</v>
      </c>
      <c r="Q175" s="3" t="s">
        <v>32</v>
      </c>
      <c r="R175" s="3" t="s">
        <v>124</v>
      </c>
      <c r="S175" s="4" t="s">
        <v>502</v>
      </c>
    </row>
    <row r="176" spans="1:19" ht="17.45">
      <c r="A176" s="3">
        <f>SUBTOTAL(103,$B$4:B176)</f>
        <v>173</v>
      </c>
      <c r="B176" s="8">
        <v>562333</v>
      </c>
      <c r="C176" s="5" t="s">
        <v>503</v>
      </c>
      <c r="D176" s="4" t="s">
        <v>48</v>
      </c>
      <c r="E176" s="4" t="s">
        <v>461</v>
      </c>
      <c r="F176" s="30">
        <v>46057</v>
      </c>
      <c r="G176" s="19" t="s">
        <v>190</v>
      </c>
      <c r="H176" s="19" t="str">
        <f t="shared" ca="1" si="2"/>
        <v>0 Years, 3 Months, 30 Days</v>
      </c>
      <c r="I176" s="16" t="s">
        <v>504</v>
      </c>
      <c r="J176" s="4" t="s">
        <v>28</v>
      </c>
      <c r="K176" s="6" t="s">
        <v>505</v>
      </c>
      <c r="L176" s="6"/>
      <c r="M176" s="9">
        <v>557223</v>
      </c>
      <c r="N176" s="4" t="s">
        <v>468</v>
      </c>
      <c r="O176" s="4" t="str">
        <f>VLOOKUP(Table1[[#This Row],[Supervisors'' Enroll]],[1]EmployeeMonthLyStatus!$B$2:$G$2474,6,FALSE)</f>
        <v>Deputy Manager</v>
      </c>
      <c r="P176" s="18" t="s">
        <v>469</v>
      </c>
      <c r="Q176" s="3" t="s">
        <v>32</v>
      </c>
      <c r="R176" s="3" t="s">
        <v>33</v>
      </c>
      <c r="S176" s="4"/>
    </row>
    <row r="177" spans="1:19" ht="17.45">
      <c r="A177" s="3">
        <f>SUBTOTAL(103,$B$4:B177)</f>
        <v>174</v>
      </c>
      <c r="B177" s="8">
        <v>177798</v>
      </c>
      <c r="C177" s="5" t="s">
        <v>506</v>
      </c>
      <c r="D177" s="4" t="s">
        <v>24</v>
      </c>
      <c r="E177" s="4" t="s">
        <v>507</v>
      </c>
      <c r="F177" s="30">
        <v>42066</v>
      </c>
      <c r="G177" s="19" t="s">
        <v>144</v>
      </c>
      <c r="H177" s="19" t="str">
        <f t="shared" ca="1" si="2"/>
        <v>11 Years, 3 Months, 0 Days</v>
      </c>
      <c r="I177" s="4" t="s">
        <v>508</v>
      </c>
      <c r="J177" s="4" t="s">
        <v>146</v>
      </c>
      <c r="K177" s="6">
        <v>1718456174</v>
      </c>
      <c r="L177" s="6">
        <v>1713020630</v>
      </c>
      <c r="M177" s="8">
        <v>204848</v>
      </c>
      <c r="N177" s="18" t="s">
        <v>258</v>
      </c>
      <c r="O177" s="4" t="str">
        <f>VLOOKUP(Table1[[#This Row],[Supervisors'' Enroll]],[1]EmployeeMonthLyStatus!$B$2:$G$2474,6,FALSE)</f>
        <v>Sr. General Manager</v>
      </c>
      <c r="P177" s="18" t="s">
        <v>260</v>
      </c>
      <c r="Q177" s="3" t="s">
        <v>32</v>
      </c>
      <c r="R177" s="3" t="s">
        <v>33</v>
      </c>
      <c r="S177" s="4"/>
    </row>
    <row r="178" spans="1:19" ht="17.45">
      <c r="A178" s="3">
        <f>SUBTOTAL(103,$B$4:B178)</f>
        <v>175</v>
      </c>
      <c r="B178" s="8">
        <v>525691</v>
      </c>
      <c r="C178" s="5" t="s">
        <v>509</v>
      </c>
      <c r="D178" s="4" t="s">
        <v>35</v>
      </c>
      <c r="E178" s="4" t="s">
        <v>507</v>
      </c>
      <c r="F178" s="30">
        <v>44607</v>
      </c>
      <c r="G178" s="19" t="s">
        <v>156</v>
      </c>
      <c r="H178" s="19" t="str">
        <f t="shared" ca="1" si="2"/>
        <v>4 Years, 3 Months, 19 Days</v>
      </c>
      <c r="I178" s="4" t="s">
        <v>510</v>
      </c>
      <c r="J178" s="4" t="s">
        <v>158</v>
      </c>
      <c r="K178" s="6">
        <v>1713020558</v>
      </c>
      <c r="L178" s="6">
        <v>1713020558</v>
      </c>
      <c r="M178" s="9">
        <v>529668</v>
      </c>
      <c r="N178" s="4" t="s">
        <v>228</v>
      </c>
      <c r="O178" s="4" t="str">
        <f>VLOOKUP(Table1[[#This Row],[Supervisors'' Enroll]],[1]EmployeeMonthLyStatus!$B$2:$G$2474,6,FALSE)</f>
        <v>Chief Executive Officer</v>
      </c>
      <c r="P178" s="18" t="s">
        <v>229</v>
      </c>
      <c r="Q178" s="3" t="s">
        <v>32</v>
      </c>
      <c r="R178" s="3" t="s">
        <v>33</v>
      </c>
      <c r="S178" s="4"/>
    </row>
    <row r="179" spans="1:19" ht="17.45">
      <c r="A179" s="3">
        <f>SUBTOTAL(103,$B$4:B179)</f>
        <v>176</v>
      </c>
      <c r="B179" s="8">
        <v>1364</v>
      </c>
      <c r="C179" s="5" t="s">
        <v>511</v>
      </c>
      <c r="D179" s="4" t="s">
        <v>61</v>
      </c>
      <c r="E179" s="4" t="s">
        <v>507</v>
      </c>
      <c r="F179" s="30">
        <v>39979</v>
      </c>
      <c r="G179" s="19" t="s">
        <v>26</v>
      </c>
      <c r="H179" s="19" t="str">
        <f t="shared" ca="1" si="2"/>
        <v>16 Years, 11 Months, 19 Days</v>
      </c>
      <c r="I179" s="4" t="s">
        <v>512</v>
      </c>
      <c r="J179" s="4" t="s">
        <v>28</v>
      </c>
      <c r="K179" s="6">
        <v>1755516469</v>
      </c>
      <c r="L179" s="6">
        <v>1755516469</v>
      </c>
      <c r="M179" s="9"/>
      <c r="N179" s="4"/>
      <c r="O179" s="4"/>
      <c r="P179" s="4"/>
      <c r="Q179" s="3" t="s">
        <v>32</v>
      </c>
      <c r="R179" s="3" t="s">
        <v>33</v>
      </c>
      <c r="S179" s="4"/>
    </row>
    <row r="180" spans="1:19" ht="17.45">
      <c r="A180" s="3">
        <f>SUBTOTAL(103,$B$4:B180)</f>
        <v>177</v>
      </c>
      <c r="B180" s="8">
        <v>58567</v>
      </c>
      <c r="C180" s="5" t="s">
        <v>513</v>
      </c>
      <c r="D180" s="4" t="s">
        <v>35</v>
      </c>
      <c r="E180" s="4" t="s">
        <v>507</v>
      </c>
      <c r="F180" s="30">
        <v>40631</v>
      </c>
      <c r="G180" s="19" t="s">
        <v>26</v>
      </c>
      <c r="H180" s="19" t="str">
        <f t="shared" ca="1" si="2"/>
        <v>15 Years, 2 Months, 5 Days</v>
      </c>
      <c r="I180" s="4" t="s">
        <v>514</v>
      </c>
      <c r="J180" s="4" t="s">
        <v>28</v>
      </c>
      <c r="K180" s="6">
        <v>1755524907</v>
      </c>
      <c r="L180" s="6">
        <v>1755524906</v>
      </c>
      <c r="M180" s="9"/>
      <c r="N180" s="4"/>
      <c r="O180" s="4"/>
      <c r="P180" s="4"/>
      <c r="Q180" s="3" t="s">
        <v>32</v>
      </c>
      <c r="R180" s="3" t="s">
        <v>33</v>
      </c>
      <c r="S180" s="4"/>
    </row>
    <row r="181" spans="1:19" ht="17.45">
      <c r="A181" s="3">
        <f>SUBTOTAL(103,$B$4:B181)</f>
        <v>178</v>
      </c>
      <c r="B181" s="8">
        <v>110272</v>
      </c>
      <c r="C181" s="5" t="s">
        <v>515</v>
      </c>
      <c r="D181" s="4" t="s">
        <v>35</v>
      </c>
      <c r="E181" s="4" t="s">
        <v>507</v>
      </c>
      <c r="F181" s="30">
        <v>41659</v>
      </c>
      <c r="G181" s="19" t="s">
        <v>26</v>
      </c>
      <c r="H181" s="19" t="str">
        <f t="shared" ca="1" si="2"/>
        <v>12 Years, 4 Months, 14 Days</v>
      </c>
      <c r="I181" s="4" t="s">
        <v>516</v>
      </c>
      <c r="J181" s="4" t="s">
        <v>28</v>
      </c>
      <c r="K181" s="6">
        <v>1926274470</v>
      </c>
      <c r="L181" s="6">
        <v>1755630286</v>
      </c>
      <c r="M181" s="9"/>
      <c r="N181" s="4"/>
      <c r="O181" s="4"/>
      <c r="P181" s="4"/>
      <c r="Q181" s="3" t="s">
        <v>32</v>
      </c>
      <c r="R181" s="3" t="s">
        <v>33</v>
      </c>
      <c r="S181" s="4"/>
    </row>
    <row r="182" spans="1:19" ht="17.45">
      <c r="A182" s="3">
        <f>SUBTOTAL(103,$B$4:B182)</f>
        <v>179</v>
      </c>
      <c r="B182" s="8">
        <v>251683</v>
      </c>
      <c r="C182" s="5" t="s">
        <v>517</v>
      </c>
      <c r="D182" s="4" t="s">
        <v>24</v>
      </c>
      <c r="E182" s="4" t="s">
        <v>507</v>
      </c>
      <c r="F182" s="30">
        <v>42564</v>
      </c>
      <c r="G182" s="19" t="s">
        <v>26</v>
      </c>
      <c r="H182" s="19" t="str">
        <f t="shared" ca="1" si="2"/>
        <v>9 Years, 10 Months, 21 Days</v>
      </c>
      <c r="I182" s="4" t="s">
        <v>518</v>
      </c>
      <c r="J182" s="4" t="s">
        <v>28</v>
      </c>
      <c r="K182" s="6">
        <v>1753748640</v>
      </c>
      <c r="L182" s="6">
        <v>1755516467</v>
      </c>
      <c r="M182" s="9"/>
      <c r="N182" s="4"/>
      <c r="O182" s="4"/>
      <c r="P182" s="4"/>
      <c r="Q182" s="3" t="s">
        <v>32</v>
      </c>
      <c r="R182" s="3" t="s">
        <v>33</v>
      </c>
      <c r="S182" s="4"/>
    </row>
    <row r="183" spans="1:19" ht="17.45">
      <c r="A183" s="3">
        <f>SUBTOTAL(103,$B$4:B183)</f>
        <v>180</v>
      </c>
      <c r="B183" s="8">
        <v>1367</v>
      </c>
      <c r="C183" s="5" t="s">
        <v>519</v>
      </c>
      <c r="D183" s="4" t="s">
        <v>61</v>
      </c>
      <c r="E183" s="4" t="s">
        <v>520</v>
      </c>
      <c r="F183" s="30">
        <v>40196</v>
      </c>
      <c r="G183" s="19" t="s">
        <v>190</v>
      </c>
      <c r="H183" s="19" t="str">
        <f t="shared" ca="1" si="2"/>
        <v>16 Years, 4 Months, 16 Days</v>
      </c>
      <c r="I183" s="4" t="s">
        <v>521</v>
      </c>
      <c r="J183" s="4" t="s">
        <v>28</v>
      </c>
      <c r="K183" s="6">
        <v>1977724933</v>
      </c>
      <c r="L183" s="6">
        <v>1755524933</v>
      </c>
      <c r="M183" s="9">
        <v>250153</v>
      </c>
      <c r="N183" s="4" t="s">
        <v>522</v>
      </c>
      <c r="O183" s="4" t="s">
        <v>94</v>
      </c>
      <c r="P183" s="4" t="s">
        <v>523</v>
      </c>
      <c r="Q183" s="3" t="s">
        <v>32</v>
      </c>
      <c r="R183" s="3" t="s">
        <v>33</v>
      </c>
      <c r="S183" s="4"/>
    </row>
    <row r="184" spans="1:19" ht="17.45">
      <c r="A184" s="3">
        <f>SUBTOTAL(103,$B$4:B184)</f>
        <v>181</v>
      </c>
      <c r="B184" s="8">
        <v>56156</v>
      </c>
      <c r="C184" s="5" t="s">
        <v>524</v>
      </c>
      <c r="D184" s="4" t="s">
        <v>24</v>
      </c>
      <c r="E184" s="4" t="s">
        <v>520</v>
      </c>
      <c r="F184" s="30">
        <v>41279</v>
      </c>
      <c r="G184" s="19" t="s">
        <v>190</v>
      </c>
      <c r="H184" s="19" t="str">
        <f t="shared" ca="1" si="2"/>
        <v>13 Years, 4 Months, 29 Days</v>
      </c>
      <c r="I184" s="4" t="s">
        <v>525</v>
      </c>
      <c r="J184" s="4" t="s">
        <v>28</v>
      </c>
      <c r="K184" s="6">
        <v>1755516521</v>
      </c>
      <c r="L184" s="6">
        <v>1755516521</v>
      </c>
      <c r="M184" s="9">
        <v>250153</v>
      </c>
      <c r="N184" s="4" t="s">
        <v>522</v>
      </c>
      <c r="O184" s="4" t="s">
        <v>94</v>
      </c>
      <c r="P184" s="4" t="s">
        <v>523</v>
      </c>
      <c r="Q184" s="3" t="s">
        <v>32</v>
      </c>
      <c r="R184" s="3" t="s">
        <v>33</v>
      </c>
      <c r="S184" s="4"/>
    </row>
    <row r="185" spans="1:19" ht="17.45">
      <c r="A185" s="3">
        <f>SUBTOTAL(103,$B$4:B185)</f>
        <v>182</v>
      </c>
      <c r="B185" s="8">
        <v>370133</v>
      </c>
      <c r="C185" s="5" t="s">
        <v>526</v>
      </c>
      <c r="D185" s="4" t="s">
        <v>35</v>
      </c>
      <c r="E185" s="4" t="s">
        <v>520</v>
      </c>
      <c r="F185" s="30">
        <v>43212</v>
      </c>
      <c r="G185" s="19" t="s">
        <v>190</v>
      </c>
      <c r="H185" s="19" t="str">
        <f t="shared" ca="1" si="2"/>
        <v>8 Years, 1 Months, 12 Days</v>
      </c>
      <c r="I185" s="4" t="s">
        <v>527</v>
      </c>
      <c r="J185" s="4" t="s">
        <v>28</v>
      </c>
      <c r="K185" s="6">
        <v>1913343569</v>
      </c>
      <c r="L185" s="6">
        <v>1713020598</v>
      </c>
      <c r="M185" s="9">
        <v>250153</v>
      </c>
      <c r="N185" s="4" t="s">
        <v>522</v>
      </c>
      <c r="O185" s="4" t="s">
        <v>94</v>
      </c>
      <c r="P185" s="4" t="s">
        <v>523</v>
      </c>
      <c r="Q185" s="3" t="s">
        <v>32</v>
      </c>
      <c r="R185" s="3" t="s">
        <v>33</v>
      </c>
      <c r="S185" s="4"/>
    </row>
    <row r="186" spans="1:19" ht="17.45">
      <c r="A186" s="3">
        <f>SUBTOTAL(103,$B$4:B186)</f>
        <v>183</v>
      </c>
      <c r="B186" s="8">
        <v>479057</v>
      </c>
      <c r="C186" s="5" t="s">
        <v>528</v>
      </c>
      <c r="D186" s="4" t="s">
        <v>35</v>
      </c>
      <c r="E186" s="4" t="s">
        <v>520</v>
      </c>
      <c r="F186" s="30">
        <v>43905</v>
      </c>
      <c r="G186" s="19" t="s">
        <v>190</v>
      </c>
      <c r="H186" s="19" t="str">
        <f t="shared" ca="1" si="2"/>
        <v>6 Years, 2 Months, 19 Days</v>
      </c>
      <c r="I186" s="4" t="s">
        <v>529</v>
      </c>
      <c r="J186" s="4" t="s">
        <v>28</v>
      </c>
      <c r="K186" s="6">
        <v>1711240563</v>
      </c>
      <c r="L186" s="6">
        <v>1755516437</v>
      </c>
      <c r="M186" s="9">
        <v>250153</v>
      </c>
      <c r="N186" s="4" t="s">
        <v>522</v>
      </c>
      <c r="O186" s="4" t="s">
        <v>94</v>
      </c>
      <c r="P186" s="4" t="s">
        <v>523</v>
      </c>
      <c r="Q186" s="3" t="s">
        <v>32</v>
      </c>
      <c r="R186" s="3" t="s">
        <v>33</v>
      </c>
      <c r="S186" s="4"/>
    </row>
    <row r="187" spans="1:19" ht="17.45">
      <c r="A187" s="3">
        <f>SUBTOTAL(103,$B$4:B187)</f>
        <v>184</v>
      </c>
      <c r="B187" s="8">
        <v>542017</v>
      </c>
      <c r="C187" s="5" t="s">
        <v>530</v>
      </c>
      <c r="D187" s="4" t="s">
        <v>35</v>
      </c>
      <c r="E187" s="4" t="s">
        <v>520</v>
      </c>
      <c r="F187" s="30">
        <v>45361</v>
      </c>
      <c r="G187" s="19" t="s">
        <v>190</v>
      </c>
      <c r="H187" s="19" t="str">
        <f t="shared" ca="1" si="2"/>
        <v>2 Years, 2 Months, 24 Days</v>
      </c>
      <c r="I187" s="4" t="s">
        <v>531</v>
      </c>
      <c r="J187" s="4" t="s">
        <v>28</v>
      </c>
      <c r="K187" s="6">
        <v>1711092468</v>
      </c>
      <c r="L187" s="6">
        <v>1334762307</v>
      </c>
      <c r="M187" s="9">
        <v>250153</v>
      </c>
      <c r="N187" s="4" t="s">
        <v>522</v>
      </c>
      <c r="O187" s="4" t="s">
        <v>94</v>
      </c>
      <c r="P187" s="4" t="s">
        <v>523</v>
      </c>
      <c r="Q187" s="3" t="s">
        <v>32</v>
      </c>
      <c r="R187" s="3" t="s">
        <v>33</v>
      </c>
      <c r="S187" s="4"/>
    </row>
    <row r="188" spans="1:19" ht="17.45">
      <c r="A188" s="3">
        <f>SUBTOTAL(103,$B$4:B188)</f>
        <v>185</v>
      </c>
      <c r="B188" s="8">
        <v>542018</v>
      </c>
      <c r="C188" s="5" t="s">
        <v>532</v>
      </c>
      <c r="D188" s="4" t="s">
        <v>48</v>
      </c>
      <c r="E188" s="4" t="s">
        <v>520</v>
      </c>
      <c r="F188" s="30">
        <v>45361</v>
      </c>
      <c r="G188" s="19" t="s">
        <v>533</v>
      </c>
      <c r="H188" s="19" t="str">
        <f t="shared" ca="1" si="2"/>
        <v>2 Years, 2 Months, 24 Days</v>
      </c>
      <c r="I188" s="4" t="s">
        <v>534</v>
      </c>
      <c r="J188" s="4" t="s">
        <v>146</v>
      </c>
      <c r="K188" s="6">
        <v>1303127117</v>
      </c>
      <c r="L188" s="6">
        <v>1334762306</v>
      </c>
      <c r="M188" s="9">
        <v>250153</v>
      </c>
      <c r="N188" s="4" t="s">
        <v>522</v>
      </c>
      <c r="O188" s="4" t="s">
        <v>94</v>
      </c>
      <c r="P188" s="4" t="s">
        <v>523</v>
      </c>
      <c r="Q188" s="3" t="s">
        <v>32</v>
      </c>
      <c r="R188" s="3" t="s">
        <v>33</v>
      </c>
      <c r="S188" s="4"/>
    </row>
    <row r="189" spans="1:19" ht="17.45">
      <c r="A189" s="3">
        <f>SUBTOTAL(103,$B$4:B189)</f>
        <v>186</v>
      </c>
      <c r="B189" s="8">
        <v>560064</v>
      </c>
      <c r="C189" s="5" t="s">
        <v>535</v>
      </c>
      <c r="D189" s="4" t="s">
        <v>48</v>
      </c>
      <c r="E189" s="4" t="s">
        <v>520</v>
      </c>
      <c r="F189" s="30">
        <v>45995</v>
      </c>
      <c r="G189" s="19" t="s">
        <v>533</v>
      </c>
      <c r="H189" s="19" t="str">
        <f t="shared" ca="1" si="2"/>
        <v>0 Years, 5 Months, 30 Days</v>
      </c>
      <c r="I189" s="4" t="s">
        <v>536</v>
      </c>
      <c r="J189" s="4" t="s">
        <v>146</v>
      </c>
      <c r="K189" s="6">
        <v>1755336265</v>
      </c>
      <c r="L189" s="6" t="s">
        <v>42</v>
      </c>
      <c r="M189" s="9">
        <v>250153</v>
      </c>
      <c r="N189" s="4" t="s">
        <v>522</v>
      </c>
      <c r="O189" s="4" t="s">
        <v>94</v>
      </c>
      <c r="P189" s="4" t="s">
        <v>523</v>
      </c>
      <c r="Q189" s="3" t="s">
        <v>32</v>
      </c>
      <c r="R189" s="3" t="s">
        <v>33</v>
      </c>
      <c r="S189" s="4"/>
    </row>
    <row r="190" spans="1:19" ht="17.45">
      <c r="A190" s="3">
        <f>SUBTOTAL(103,$B$4:B190)</f>
        <v>187</v>
      </c>
      <c r="B190" s="8">
        <v>542032</v>
      </c>
      <c r="C190" s="5" t="s">
        <v>537</v>
      </c>
      <c r="D190" s="4" t="s">
        <v>24</v>
      </c>
      <c r="E190" s="4" t="s">
        <v>520</v>
      </c>
      <c r="F190" s="30">
        <v>45362</v>
      </c>
      <c r="G190" s="19" t="s">
        <v>538</v>
      </c>
      <c r="H190" s="19" t="str">
        <f t="shared" ca="1" si="2"/>
        <v>2 Years, 2 Months, 23 Days</v>
      </c>
      <c r="I190" s="4" t="s">
        <v>539</v>
      </c>
      <c r="J190" s="4" t="s">
        <v>158</v>
      </c>
      <c r="K190" s="6">
        <v>1841499961</v>
      </c>
      <c r="L190" s="6">
        <v>1334762301</v>
      </c>
      <c r="M190" s="9">
        <v>250153</v>
      </c>
      <c r="N190" s="4" t="s">
        <v>522</v>
      </c>
      <c r="O190" s="4" t="s">
        <v>94</v>
      </c>
      <c r="P190" s="4" t="s">
        <v>523</v>
      </c>
      <c r="Q190" s="3" t="s">
        <v>32</v>
      </c>
      <c r="R190" s="3" t="s">
        <v>33</v>
      </c>
      <c r="S190" s="4"/>
    </row>
    <row r="191" spans="1:19" ht="17.45">
      <c r="A191" s="3">
        <f>SUBTOTAL(103,$B$4:B191)</f>
        <v>188</v>
      </c>
      <c r="B191" s="8">
        <v>312848</v>
      </c>
      <c r="C191" s="5" t="s">
        <v>540</v>
      </c>
      <c r="D191" s="4" t="s">
        <v>24</v>
      </c>
      <c r="E191" s="4" t="s">
        <v>541</v>
      </c>
      <c r="F191" s="30">
        <v>42992</v>
      </c>
      <c r="G191" s="19" t="s">
        <v>542</v>
      </c>
      <c r="H191" s="19" t="str">
        <f t="shared" ca="1" si="2"/>
        <v>8 Years, 8 Months, 20 Days</v>
      </c>
      <c r="I191" s="4" t="s">
        <v>543</v>
      </c>
      <c r="J191" s="4" t="s">
        <v>28</v>
      </c>
      <c r="K191" s="6">
        <v>1671442836</v>
      </c>
      <c r="L191" s="6">
        <v>1777718215</v>
      </c>
      <c r="M191" s="9">
        <v>541710</v>
      </c>
      <c r="N191" s="4" t="s">
        <v>544</v>
      </c>
      <c r="O191" s="4" t="s">
        <v>94</v>
      </c>
      <c r="P191" s="4" t="s">
        <v>545</v>
      </c>
      <c r="Q191" s="3" t="s">
        <v>32</v>
      </c>
      <c r="R191" s="3" t="s">
        <v>33</v>
      </c>
      <c r="S191" s="4"/>
    </row>
    <row r="192" spans="1:19" ht="17.45">
      <c r="A192" s="3">
        <f>SUBTOTAL(103,$B$4:B192)</f>
        <v>189</v>
      </c>
      <c r="B192" s="8">
        <v>550335</v>
      </c>
      <c r="C192" s="5" t="s">
        <v>546</v>
      </c>
      <c r="D192" s="4" t="s">
        <v>38</v>
      </c>
      <c r="E192" s="4" t="s">
        <v>541</v>
      </c>
      <c r="F192" s="30">
        <v>45683</v>
      </c>
      <c r="G192" s="19" t="s">
        <v>542</v>
      </c>
      <c r="H192" s="19" t="str">
        <f t="shared" ca="1" si="2"/>
        <v>1 Years, 4 Months, 8 Days</v>
      </c>
      <c r="I192" s="4" t="s">
        <v>547</v>
      </c>
      <c r="J192" s="4" t="s">
        <v>28</v>
      </c>
      <c r="K192" s="6">
        <v>1632129780</v>
      </c>
      <c r="L192" s="6" t="s">
        <v>42</v>
      </c>
      <c r="M192" s="9">
        <v>541710</v>
      </c>
      <c r="N192" s="4" t="s">
        <v>544</v>
      </c>
      <c r="O192" s="4" t="s">
        <v>94</v>
      </c>
      <c r="P192" s="4" t="s">
        <v>545</v>
      </c>
      <c r="Q192" s="3" t="s">
        <v>32</v>
      </c>
      <c r="R192" s="3" t="s">
        <v>33</v>
      </c>
      <c r="S192" s="4"/>
    </row>
    <row r="193" spans="1:19" ht="17.45">
      <c r="A193" s="3">
        <f>SUBTOTAL(103,$B$4:B193)</f>
        <v>190</v>
      </c>
      <c r="B193" s="8">
        <v>534349</v>
      </c>
      <c r="C193" s="5" t="s">
        <v>548</v>
      </c>
      <c r="D193" s="4" t="s">
        <v>24</v>
      </c>
      <c r="E193" s="4" t="s">
        <v>541</v>
      </c>
      <c r="F193" s="30">
        <v>44952</v>
      </c>
      <c r="G193" s="19" t="s">
        <v>542</v>
      </c>
      <c r="H193" s="19" t="str">
        <f t="shared" ca="1" si="2"/>
        <v>3 Years, 4 Months, 8 Days</v>
      </c>
      <c r="I193" s="4" t="s">
        <v>549</v>
      </c>
      <c r="J193" s="4" t="s">
        <v>28</v>
      </c>
      <c r="K193" s="6">
        <v>1766928227</v>
      </c>
      <c r="L193" s="6">
        <v>1755516509</v>
      </c>
      <c r="M193" s="9">
        <v>556630</v>
      </c>
      <c r="N193" s="4" t="s">
        <v>550</v>
      </c>
      <c r="O193" s="4" t="s">
        <v>129</v>
      </c>
      <c r="P193" s="4" t="s">
        <v>551</v>
      </c>
      <c r="Q193" s="3" t="s">
        <v>32</v>
      </c>
      <c r="R193" s="3" t="s">
        <v>33</v>
      </c>
      <c r="S193" s="4"/>
    </row>
    <row r="194" spans="1:19" ht="17.45">
      <c r="A194" s="3">
        <f>SUBTOTAL(103,$B$4:B194)</f>
        <v>191</v>
      </c>
      <c r="B194" s="8">
        <v>540621</v>
      </c>
      <c r="C194" s="5" t="s">
        <v>552</v>
      </c>
      <c r="D194" s="4" t="s">
        <v>61</v>
      </c>
      <c r="E194" s="4" t="s">
        <v>541</v>
      </c>
      <c r="F194" s="30">
        <v>45288</v>
      </c>
      <c r="G194" s="19" t="s">
        <v>542</v>
      </c>
      <c r="H194" s="19" t="str">
        <f t="shared" ca="1" si="2"/>
        <v>2 Years, 5 Months, 6 Days</v>
      </c>
      <c r="I194" s="4" t="s">
        <v>553</v>
      </c>
      <c r="J194" s="4" t="s">
        <v>28</v>
      </c>
      <c r="K194" s="6">
        <v>1719329464</v>
      </c>
      <c r="L194" s="6">
        <v>1329645878</v>
      </c>
      <c r="M194" s="9">
        <v>556630</v>
      </c>
      <c r="N194" s="4" t="s">
        <v>550</v>
      </c>
      <c r="O194" s="4" t="s">
        <v>129</v>
      </c>
      <c r="P194" s="4" t="s">
        <v>551</v>
      </c>
      <c r="Q194" s="3" t="s">
        <v>32</v>
      </c>
      <c r="R194" s="3" t="s">
        <v>33</v>
      </c>
      <c r="S194" s="4"/>
    </row>
    <row r="195" spans="1:19" ht="17.45">
      <c r="A195" s="3">
        <f>SUBTOTAL(103,$B$4:B195)</f>
        <v>192</v>
      </c>
      <c r="B195" s="8">
        <v>540622</v>
      </c>
      <c r="C195" s="5" t="s">
        <v>554</v>
      </c>
      <c r="D195" s="4" t="s">
        <v>61</v>
      </c>
      <c r="E195" s="4" t="s">
        <v>541</v>
      </c>
      <c r="F195" s="30">
        <v>45288</v>
      </c>
      <c r="G195" s="19" t="s">
        <v>542</v>
      </c>
      <c r="H195" s="19" t="str">
        <f t="shared" ca="1" si="2"/>
        <v>2 Years, 5 Months, 6 Days</v>
      </c>
      <c r="I195" s="4" t="s">
        <v>555</v>
      </c>
      <c r="J195" s="4" t="s">
        <v>28</v>
      </c>
      <c r="K195" s="6">
        <v>1721499892</v>
      </c>
      <c r="L195" s="6">
        <v>1329645877</v>
      </c>
      <c r="M195" s="9">
        <v>556630</v>
      </c>
      <c r="N195" s="4" t="s">
        <v>550</v>
      </c>
      <c r="O195" s="4" t="s">
        <v>129</v>
      </c>
      <c r="P195" s="4" t="s">
        <v>551</v>
      </c>
      <c r="Q195" s="3" t="s">
        <v>32</v>
      </c>
      <c r="R195" s="3" t="s">
        <v>33</v>
      </c>
      <c r="S195" s="4"/>
    </row>
    <row r="196" spans="1:19" ht="17.45">
      <c r="A196" s="3">
        <f>SUBTOTAL(103,$B$4:B196)</f>
        <v>193</v>
      </c>
      <c r="B196" s="8">
        <v>540630</v>
      </c>
      <c r="C196" s="5" t="s">
        <v>556</v>
      </c>
      <c r="D196" s="4" t="s">
        <v>48</v>
      </c>
      <c r="E196" s="4" t="s">
        <v>541</v>
      </c>
      <c r="F196" s="30">
        <v>45292</v>
      </c>
      <c r="G196" s="19" t="s">
        <v>542</v>
      </c>
      <c r="H196" s="19" t="str">
        <f t="shared" ca="1" si="2"/>
        <v>2 Years, 5 Months, 2 Days</v>
      </c>
      <c r="I196" s="4" t="s">
        <v>557</v>
      </c>
      <c r="J196" s="4" t="s">
        <v>28</v>
      </c>
      <c r="K196" s="6">
        <v>1773179294</v>
      </c>
      <c r="L196" s="6">
        <v>1329645881</v>
      </c>
      <c r="M196" s="9">
        <v>556630</v>
      </c>
      <c r="N196" s="4" t="s">
        <v>550</v>
      </c>
      <c r="O196" s="4" t="s">
        <v>129</v>
      </c>
      <c r="P196" s="4" t="s">
        <v>551</v>
      </c>
      <c r="Q196" s="3" t="s">
        <v>32</v>
      </c>
      <c r="R196" s="3" t="s">
        <v>33</v>
      </c>
      <c r="S196" s="4"/>
    </row>
    <row r="197" spans="1:19" ht="17.45">
      <c r="A197" s="3">
        <f>SUBTOTAL(103,$B$4:B197)</f>
        <v>194</v>
      </c>
      <c r="B197" s="8">
        <v>541710</v>
      </c>
      <c r="C197" s="5" t="s">
        <v>544</v>
      </c>
      <c r="D197" s="4" t="s">
        <v>94</v>
      </c>
      <c r="E197" s="4" t="s">
        <v>541</v>
      </c>
      <c r="F197" s="30">
        <v>45340</v>
      </c>
      <c r="G197" s="19" t="s">
        <v>542</v>
      </c>
      <c r="H197" s="19" t="str">
        <f t="shared" ref="H197:H260" ca="1" si="3">DATEDIF(F197,TODAY(),"Y") &amp; " Years, " &amp; DATEDIF(F197,TODAY(),"YM") &amp; " Months, " &amp; DATEDIF(F197,TODAY(),"MD") &amp; " Days"</f>
        <v>2 Years, 3 Months, 16 Days</v>
      </c>
      <c r="I197" s="4" t="s">
        <v>545</v>
      </c>
      <c r="J197" s="4" t="s">
        <v>28</v>
      </c>
      <c r="K197" s="6">
        <v>1817102718</v>
      </c>
      <c r="L197" s="6" t="s">
        <v>42</v>
      </c>
      <c r="M197" s="9">
        <v>556630</v>
      </c>
      <c r="N197" s="4" t="s">
        <v>550</v>
      </c>
      <c r="O197" s="4" t="s">
        <v>129</v>
      </c>
      <c r="P197" s="4" t="s">
        <v>551</v>
      </c>
      <c r="Q197" s="3" t="s">
        <v>123</v>
      </c>
      <c r="R197" s="3" t="s">
        <v>124</v>
      </c>
      <c r="S197" s="4" t="s">
        <v>541</v>
      </c>
    </row>
    <row r="198" spans="1:19" ht="17.45">
      <c r="A198" s="3">
        <f>SUBTOTAL(103,$B$4:B198)</f>
        <v>195</v>
      </c>
      <c r="B198" s="8">
        <v>562567</v>
      </c>
      <c r="C198" s="5" t="s">
        <v>558</v>
      </c>
      <c r="D198" s="4" t="s">
        <v>24</v>
      </c>
      <c r="E198" s="4" t="s">
        <v>541</v>
      </c>
      <c r="F198" s="30">
        <v>46068</v>
      </c>
      <c r="G198" s="19" t="s">
        <v>542</v>
      </c>
      <c r="H198" s="19" t="str">
        <f t="shared" ca="1" si="3"/>
        <v>0 Years, 3 Months, 19 Days</v>
      </c>
      <c r="I198" s="4" t="s">
        <v>559</v>
      </c>
      <c r="J198" s="4" t="s">
        <v>28</v>
      </c>
      <c r="K198" s="6" t="s">
        <v>560</v>
      </c>
      <c r="L198" s="6"/>
      <c r="M198" s="9">
        <v>556630</v>
      </c>
      <c r="N198" s="4" t="s">
        <v>550</v>
      </c>
      <c r="O198" s="4" t="s">
        <v>129</v>
      </c>
      <c r="P198" s="4" t="s">
        <v>551</v>
      </c>
      <c r="Q198" s="3" t="s">
        <v>32</v>
      </c>
      <c r="R198" s="3" t="s">
        <v>33</v>
      </c>
      <c r="S198" s="4"/>
    </row>
    <row r="199" spans="1:19" ht="17.45">
      <c r="A199" s="3">
        <f>SUBTOTAL(103,$B$4:B199)</f>
        <v>196</v>
      </c>
      <c r="B199" s="8">
        <v>558713</v>
      </c>
      <c r="C199" s="5" t="s">
        <v>561</v>
      </c>
      <c r="D199" s="4" t="s">
        <v>94</v>
      </c>
      <c r="E199" s="4" t="s">
        <v>541</v>
      </c>
      <c r="F199" s="30">
        <v>45957</v>
      </c>
      <c r="G199" s="19" t="s">
        <v>135</v>
      </c>
      <c r="H199" s="19" t="str">
        <f t="shared" ca="1" si="3"/>
        <v>0 Years, 7 Months, 7 Days</v>
      </c>
      <c r="I199" s="4" t="s">
        <v>562</v>
      </c>
      <c r="J199" s="4" t="s">
        <v>158</v>
      </c>
      <c r="K199" s="6">
        <v>1716057717</v>
      </c>
      <c r="L199" s="6" t="s">
        <v>42</v>
      </c>
      <c r="M199" s="14">
        <v>529668</v>
      </c>
      <c r="N199" s="18" t="s">
        <v>228</v>
      </c>
      <c r="O199" s="4" t="str">
        <f>VLOOKUP(Table1[[#This Row],[Supervisors'' Enroll]],[1]EmployeeMonthLyStatus!$B$2:$G$2474,6,FALSE)</f>
        <v>Chief Executive Officer</v>
      </c>
      <c r="P199" s="18" t="s">
        <v>229</v>
      </c>
      <c r="Q199" s="3" t="s">
        <v>123</v>
      </c>
      <c r="R199" s="3" t="s">
        <v>124</v>
      </c>
      <c r="S199" s="4" t="s">
        <v>541</v>
      </c>
    </row>
    <row r="200" spans="1:19" ht="17.45">
      <c r="A200" s="3">
        <f>SUBTOTAL(103,$B$4:B200)</f>
        <v>197</v>
      </c>
      <c r="B200" s="8">
        <v>556630</v>
      </c>
      <c r="C200" s="5" t="s">
        <v>550</v>
      </c>
      <c r="D200" s="4" t="s">
        <v>129</v>
      </c>
      <c r="E200" s="4" t="s">
        <v>541</v>
      </c>
      <c r="F200" s="30">
        <v>45904</v>
      </c>
      <c r="G200" s="19" t="s">
        <v>542</v>
      </c>
      <c r="H200" s="19" t="str">
        <f t="shared" ca="1" si="3"/>
        <v>0 Years, 8 Months, 30 Days</v>
      </c>
      <c r="I200" s="4" t="s">
        <v>551</v>
      </c>
      <c r="J200" s="4" t="s">
        <v>28</v>
      </c>
      <c r="K200" s="6">
        <v>1712089460</v>
      </c>
      <c r="L200" s="6" t="s">
        <v>42</v>
      </c>
      <c r="M200" s="9">
        <v>540363</v>
      </c>
      <c r="N200" s="4" t="s">
        <v>210</v>
      </c>
      <c r="O200" s="4" t="str">
        <f>VLOOKUP(Table1[[#This Row],[Supervisors'' Enroll]],[1]EmployeeMonthLyStatus!$B$2:$G$2474,6,FALSE)</f>
        <v>Chief Executive Officer</v>
      </c>
      <c r="P200" s="18" t="s">
        <v>212</v>
      </c>
      <c r="Q200" s="3" t="s">
        <v>123</v>
      </c>
      <c r="R200" s="3" t="s">
        <v>124</v>
      </c>
      <c r="S200" s="4" t="s">
        <v>563</v>
      </c>
    </row>
    <row r="201" spans="1:19" ht="17.45">
      <c r="A201" s="3">
        <f>SUBTOTAL(103,$B$4:B201)</f>
        <v>198</v>
      </c>
      <c r="B201" s="8">
        <v>461267</v>
      </c>
      <c r="C201" s="5" t="s">
        <v>564</v>
      </c>
      <c r="D201" s="4" t="s">
        <v>48</v>
      </c>
      <c r="E201" s="4" t="s">
        <v>565</v>
      </c>
      <c r="F201" s="30">
        <v>43724</v>
      </c>
      <c r="G201" s="19" t="s">
        <v>26</v>
      </c>
      <c r="H201" s="19" t="str">
        <f t="shared" ca="1" si="3"/>
        <v>6 Years, 8 Months, 18 Days</v>
      </c>
      <c r="I201" s="4" t="s">
        <v>566</v>
      </c>
      <c r="J201" s="4" t="s">
        <v>28</v>
      </c>
      <c r="K201" s="6">
        <v>1917416665</v>
      </c>
      <c r="L201" s="6" t="s">
        <v>42</v>
      </c>
      <c r="M201" s="9">
        <v>1324</v>
      </c>
      <c r="N201" s="4" t="s">
        <v>567</v>
      </c>
      <c r="O201" s="4" t="s">
        <v>30</v>
      </c>
      <c r="P201" s="4" t="s">
        <v>568</v>
      </c>
      <c r="Q201" s="3" t="s">
        <v>32</v>
      </c>
      <c r="R201" s="3" t="s">
        <v>33</v>
      </c>
      <c r="S201" s="4"/>
    </row>
    <row r="202" spans="1:19" ht="17.45">
      <c r="A202" s="3">
        <f>SUBTOTAL(103,$B$4:B202)</f>
        <v>199</v>
      </c>
      <c r="B202" s="8">
        <v>551987</v>
      </c>
      <c r="C202" s="5" t="s">
        <v>569</v>
      </c>
      <c r="D202" s="4" t="s">
        <v>48</v>
      </c>
      <c r="E202" s="4" t="s">
        <v>570</v>
      </c>
      <c r="F202" s="30">
        <v>45754</v>
      </c>
      <c r="G202" s="19" t="s">
        <v>471</v>
      </c>
      <c r="H202" s="19" t="str">
        <f t="shared" ca="1" si="3"/>
        <v>1 Years, 1 Months, 27 Days</v>
      </c>
      <c r="I202" s="4" t="s">
        <v>571</v>
      </c>
      <c r="J202" s="4" t="s">
        <v>473</v>
      </c>
      <c r="K202" s="6">
        <v>1676096058</v>
      </c>
      <c r="L202" s="6" t="s">
        <v>42</v>
      </c>
      <c r="M202" s="9">
        <v>122066</v>
      </c>
      <c r="N202" s="4" t="s">
        <v>572</v>
      </c>
      <c r="O202" s="4" t="s">
        <v>61</v>
      </c>
      <c r="P202" s="4" t="s">
        <v>573</v>
      </c>
      <c r="Q202" s="3" t="s">
        <v>32</v>
      </c>
      <c r="R202" s="3" t="s">
        <v>33</v>
      </c>
      <c r="S202" s="4"/>
    </row>
    <row r="203" spans="1:19" ht="17.45">
      <c r="A203" s="3">
        <f>SUBTOTAL(103,$B$4:B203)</f>
        <v>200</v>
      </c>
      <c r="B203" s="8">
        <v>558575</v>
      </c>
      <c r="C203" s="5" t="s">
        <v>574</v>
      </c>
      <c r="D203" s="4" t="s">
        <v>48</v>
      </c>
      <c r="E203" s="4" t="s">
        <v>570</v>
      </c>
      <c r="F203" s="30">
        <v>45952</v>
      </c>
      <c r="G203" s="19" t="s">
        <v>471</v>
      </c>
      <c r="H203" s="19" t="str">
        <f t="shared" ca="1" si="3"/>
        <v>0 Years, 7 Months, 12 Days</v>
      </c>
      <c r="I203" s="4" t="s">
        <v>575</v>
      </c>
      <c r="J203" s="4" t="s">
        <v>473</v>
      </c>
      <c r="K203" s="6">
        <v>1841986097</v>
      </c>
      <c r="L203" s="6" t="s">
        <v>42</v>
      </c>
      <c r="M203" s="9">
        <v>122066</v>
      </c>
      <c r="N203" s="4" t="s">
        <v>572</v>
      </c>
      <c r="O203" s="4" t="s">
        <v>61</v>
      </c>
      <c r="P203" s="4" t="s">
        <v>573</v>
      </c>
      <c r="Q203" s="3" t="s">
        <v>32</v>
      </c>
      <c r="R203" s="3" t="s">
        <v>33</v>
      </c>
      <c r="S203" s="4"/>
    </row>
    <row r="204" spans="1:19" ht="17.45">
      <c r="A204" s="3">
        <f>SUBTOTAL(103,$B$4:B204)</f>
        <v>201</v>
      </c>
      <c r="B204" s="8">
        <v>558957</v>
      </c>
      <c r="C204" s="5" t="s">
        <v>576</v>
      </c>
      <c r="D204" s="4" t="s">
        <v>48</v>
      </c>
      <c r="E204" s="4" t="s">
        <v>570</v>
      </c>
      <c r="F204" s="30">
        <v>45965</v>
      </c>
      <c r="G204" s="19" t="s">
        <v>471</v>
      </c>
      <c r="H204" s="19" t="str">
        <f t="shared" ca="1" si="3"/>
        <v>0 Years, 6 Months, 30 Days</v>
      </c>
      <c r="I204" s="4" t="s">
        <v>577</v>
      </c>
      <c r="J204" s="4" t="s">
        <v>473</v>
      </c>
      <c r="K204" s="6">
        <v>1865682728</v>
      </c>
      <c r="L204" s="6" t="s">
        <v>42</v>
      </c>
      <c r="M204" s="9">
        <v>122066</v>
      </c>
      <c r="N204" s="4" t="s">
        <v>572</v>
      </c>
      <c r="O204" s="4" t="s">
        <v>61</v>
      </c>
      <c r="P204" s="4" t="s">
        <v>573</v>
      </c>
      <c r="Q204" s="3" t="s">
        <v>32</v>
      </c>
      <c r="R204" s="3" t="s">
        <v>33</v>
      </c>
      <c r="S204" s="4"/>
    </row>
    <row r="205" spans="1:19" ht="17.45">
      <c r="A205" s="3">
        <f>SUBTOTAL(103,$B$4:B205)</f>
        <v>202</v>
      </c>
      <c r="B205" s="8">
        <v>562656</v>
      </c>
      <c r="C205" s="5" t="s">
        <v>578</v>
      </c>
      <c r="D205" s="4" t="s">
        <v>48</v>
      </c>
      <c r="E205" s="4" t="s">
        <v>570</v>
      </c>
      <c r="F205" s="30">
        <v>46071</v>
      </c>
      <c r="G205" s="19" t="s">
        <v>471</v>
      </c>
      <c r="H205" s="19" t="str">
        <f t="shared" ca="1" si="3"/>
        <v>0 Years, 3 Months, 16 Days</v>
      </c>
      <c r="I205" s="4" t="s">
        <v>579</v>
      </c>
      <c r="J205" s="4" t="s">
        <v>473</v>
      </c>
      <c r="K205" s="6" t="s">
        <v>580</v>
      </c>
      <c r="L205" s="6"/>
      <c r="M205" s="9">
        <v>122066</v>
      </c>
      <c r="N205" s="4" t="s">
        <v>572</v>
      </c>
      <c r="O205" s="4" t="s">
        <v>61</v>
      </c>
      <c r="P205" s="4" t="s">
        <v>573</v>
      </c>
      <c r="Q205" s="3" t="s">
        <v>32</v>
      </c>
      <c r="R205" s="3" t="s">
        <v>33</v>
      </c>
      <c r="S205" s="4"/>
    </row>
    <row r="206" spans="1:19" ht="17.45">
      <c r="A206" s="3">
        <f>SUBTOTAL(103,$B$4:B206)</f>
        <v>203</v>
      </c>
      <c r="B206" s="8">
        <v>122066</v>
      </c>
      <c r="C206" s="5" t="s">
        <v>572</v>
      </c>
      <c r="D206" s="4" t="s">
        <v>61</v>
      </c>
      <c r="E206" s="4" t="s">
        <v>570</v>
      </c>
      <c r="F206" s="30">
        <v>42095</v>
      </c>
      <c r="G206" s="19" t="s">
        <v>471</v>
      </c>
      <c r="H206" s="19" t="str">
        <f t="shared" ca="1" si="3"/>
        <v>11 Years, 2 Months, 2 Days</v>
      </c>
      <c r="I206" s="4" t="s">
        <v>573</v>
      </c>
      <c r="J206" s="4" t="s">
        <v>473</v>
      </c>
      <c r="K206" s="6">
        <v>1930198714</v>
      </c>
      <c r="L206" s="6">
        <v>1713020600</v>
      </c>
      <c r="M206" s="9">
        <v>529668</v>
      </c>
      <c r="N206" s="4" t="s">
        <v>228</v>
      </c>
      <c r="O206" s="4" t="s">
        <v>211</v>
      </c>
      <c r="P206" s="4" t="s">
        <v>229</v>
      </c>
      <c r="Q206" s="3" t="s">
        <v>32</v>
      </c>
      <c r="R206" s="3" t="s">
        <v>33</v>
      </c>
      <c r="S206" s="4"/>
    </row>
    <row r="207" spans="1:19" ht="17.45">
      <c r="A207" s="3">
        <f>SUBTOTAL(103,$B$4:B207)</f>
        <v>204</v>
      </c>
      <c r="B207" s="8">
        <v>557878</v>
      </c>
      <c r="C207" s="5" t="s">
        <v>581</v>
      </c>
      <c r="D207" s="4" t="s">
        <v>48</v>
      </c>
      <c r="E207" s="4" t="s">
        <v>570</v>
      </c>
      <c r="F207" s="30">
        <v>45935</v>
      </c>
      <c r="G207" s="19" t="s">
        <v>471</v>
      </c>
      <c r="H207" s="19" t="str">
        <f t="shared" ca="1" si="3"/>
        <v>0 Years, 7 Months, 29 Days</v>
      </c>
      <c r="I207" s="4" t="s">
        <v>582</v>
      </c>
      <c r="J207" s="4" t="s">
        <v>473</v>
      </c>
      <c r="K207" s="6">
        <v>1815442338</v>
      </c>
      <c r="L207" s="6" t="s">
        <v>42</v>
      </c>
      <c r="M207" s="9">
        <v>541175</v>
      </c>
      <c r="N207" s="4" t="s">
        <v>583</v>
      </c>
      <c r="O207" s="4" t="s">
        <v>61</v>
      </c>
      <c r="P207" s="4" t="s">
        <v>584</v>
      </c>
      <c r="Q207" s="3" t="s">
        <v>32</v>
      </c>
      <c r="R207" s="3" t="s">
        <v>33</v>
      </c>
      <c r="S207" s="4"/>
    </row>
    <row r="208" spans="1:19" ht="17.45">
      <c r="A208" s="3">
        <f>SUBTOTAL(103,$B$4:B208)</f>
        <v>205</v>
      </c>
      <c r="B208" s="8">
        <v>563050</v>
      </c>
      <c r="C208" s="5" t="s">
        <v>585</v>
      </c>
      <c r="D208" s="4" t="s">
        <v>48</v>
      </c>
      <c r="E208" s="4" t="s">
        <v>570</v>
      </c>
      <c r="F208" s="30">
        <v>46083</v>
      </c>
      <c r="G208" s="19" t="s">
        <v>471</v>
      </c>
      <c r="H208" s="19" t="str">
        <f t="shared" ca="1" si="3"/>
        <v>0 Years, 3 Months, 1 Days</v>
      </c>
      <c r="I208" s="4" t="s">
        <v>199</v>
      </c>
      <c r="J208" s="4" t="s">
        <v>473</v>
      </c>
      <c r="K208" s="6" t="s">
        <v>586</v>
      </c>
      <c r="L208" s="6"/>
      <c r="M208" s="9">
        <v>541175</v>
      </c>
      <c r="N208" s="4" t="s">
        <v>583</v>
      </c>
      <c r="O208" s="4" t="s">
        <v>61</v>
      </c>
      <c r="P208" s="4" t="s">
        <v>584</v>
      </c>
      <c r="Q208" s="3" t="s">
        <v>32</v>
      </c>
      <c r="R208" s="3" t="s">
        <v>33</v>
      </c>
      <c r="S208" s="4"/>
    </row>
    <row r="209" spans="1:19" ht="17.45">
      <c r="A209" s="3">
        <f>SUBTOTAL(103,$B$4:B209)</f>
        <v>206</v>
      </c>
      <c r="B209" s="8">
        <v>563253</v>
      </c>
      <c r="C209" s="5" t="s">
        <v>587</v>
      </c>
      <c r="D209" s="4" t="s">
        <v>35</v>
      </c>
      <c r="E209" s="4" t="s">
        <v>570</v>
      </c>
      <c r="F209" s="30">
        <v>46090</v>
      </c>
      <c r="G209" s="19" t="s">
        <v>471</v>
      </c>
      <c r="H209" s="19" t="str">
        <f t="shared" ca="1" si="3"/>
        <v>0 Years, 2 Months, 25 Days</v>
      </c>
      <c r="I209" s="4" t="s">
        <v>199</v>
      </c>
      <c r="J209" s="4" t="s">
        <v>473</v>
      </c>
      <c r="K209" s="6" t="s">
        <v>588</v>
      </c>
      <c r="L209" s="6"/>
      <c r="M209" s="9">
        <v>541175</v>
      </c>
      <c r="N209" s="4" t="s">
        <v>583</v>
      </c>
      <c r="O209" s="4" t="s">
        <v>61</v>
      </c>
      <c r="P209" s="4" t="s">
        <v>584</v>
      </c>
      <c r="Q209" s="3" t="s">
        <v>32</v>
      </c>
      <c r="R209" s="3" t="s">
        <v>33</v>
      </c>
      <c r="S209" s="4"/>
    </row>
    <row r="210" spans="1:19" ht="17.45">
      <c r="A210" s="3">
        <f>SUBTOTAL(103,$B$4:B210)</f>
        <v>207</v>
      </c>
      <c r="B210" s="8">
        <v>563283</v>
      </c>
      <c r="C210" s="5" t="s">
        <v>589</v>
      </c>
      <c r="D210" s="4" t="s">
        <v>48</v>
      </c>
      <c r="E210" s="4" t="s">
        <v>570</v>
      </c>
      <c r="F210" s="30">
        <v>46091</v>
      </c>
      <c r="G210" s="19" t="s">
        <v>471</v>
      </c>
      <c r="H210" s="19" t="str">
        <f t="shared" ca="1" si="3"/>
        <v>0 Years, 2 Months, 24 Days</v>
      </c>
      <c r="I210" s="4" t="s">
        <v>199</v>
      </c>
      <c r="J210" s="4" t="s">
        <v>473</v>
      </c>
      <c r="K210" s="6" t="s">
        <v>590</v>
      </c>
      <c r="L210" s="6"/>
      <c r="M210" s="9">
        <v>541175</v>
      </c>
      <c r="N210" s="4" t="s">
        <v>583</v>
      </c>
      <c r="O210" s="4" t="s">
        <v>61</v>
      </c>
      <c r="P210" s="4" t="s">
        <v>584</v>
      </c>
      <c r="Q210" s="3" t="s">
        <v>32</v>
      </c>
      <c r="R210" s="3" t="s">
        <v>33</v>
      </c>
      <c r="S210" s="4"/>
    </row>
    <row r="211" spans="1:19" ht="17.45">
      <c r="A211" s="3">
        <f>SUBTOTAL(103,$B$4:B211)</f>
        <v>208</v>
      </c>
      <c r="B211" s="8">
        <v>561306</v>
      </c>
      <c r="C211" s="5" t="s">
        <v>591</v>
      </c>
      <c r="D211" s="4" t="s">
        <v>24</v>
      </c>
      <c r="E211" s="4" t="s">
        <v>570</v>
      </c>
      <c r="F211" s="30">
        <v>46036</v>
      </c>
      <c r="G211" s="19" t="s">
        <v>471</v>
      </c>
      <c r="H211" s="19" t="str">
        <f t="shared" ca="1" si="3"/>
        <v>0 Years, 4 Months, 20 Days</v>
      </c>
      <c r="I211" s="4" t="s">
        <v>592</v>
      </c>
      <c r="J211" s="4" t="s">
        <v>473</v>
      </c>
      <c r="K211" s="6"/>
      <c r="L211" s="6"/>
      <c r="M211" s="9">
        <v>556886</v>
      </c>
      <c r="N211" s="4" t="s">
        <v>593</v>
      </c>
      <c r="O211" s="4" t="s">
        <v>129</v>
      </c>
      <c r="P211" s="4" t="s">
        <v>594</v>
      </c>
      <c r="Q211" s="3" t="s">
        <v>32</v>
      </c>
      <c r="R211" s="3" t="s">
        <v>33</v>
      </c>
      <c r="S211" s="4"/>
    </row>
    <row r="212" spans="1:19" ht="17.45">
      <c r="A212" s="3">
        <f>SUBTOTAL(103,$B$4:B212)</f>
        <v>209</v>
      </c>
      <c r="B212" s="8">
        <v>560807</v>
      </c>
      <c r="C212" s="5" t="s">
        <v>595</v>
      </c>
      <c r="D212" s="4" t="s">
        <v>48</v>
      </c>
      <c r="E212" s="4" t="s">
        <v>570</v>
      </c>
      <c r="F212" s="30">
        <v>46019</v>
      </c>
      <c r="G212" s="19" t="s">
        <v>471</v>
      </c>
      <c r="H212" s="19" t="str">
        <f t="shared" ca="1" si="3"/>
        <v>0 Years, 5 Months, 6 Days</v>
      </c>
      <c r="I212" s="4" t="s">
        <v>596</v>
      </c>
      <c r="J212" s="4" t="s">
        <v>473</v>
      </c>
      <c r="K212" s="6"/>
      <c r="L212" s="6"/>
      <c r="M212" s="9">
        <v>557164</v>
      </c>
      <c r="N212" s="4" t="s">
        <v>475</v>
      </c>
      <c r="O212" s="4" t="s">
        <v>30</v>
      </c>
      <c r="P212" s="4" t="s">
        <v>476</v>
      </c>
      <c r="Q212" s="3" t="s">
        <v>32</v>
      </c>
      <c r="R212" s="3" t="s">
        <v>33</v>
      </c>
      <c r="S212" s="4"/>
    </row>
    <row r="213" spans="1:19" ht="17.45">
      <c r="A213" s="3">
        <f>SUBTOTAL(103,$B$4:B213)</f>
        <v>210</v>
      </c>
      <c r="B213" s="8">
        <v>562002</v>
      </c>
      <c r="C213" s="5" t="s">
        <v>597</v>
      </c>
      <c r="D213" s="4" t="s">
        <v>48</v>
      </c>
      <c r="E213" s="4" t="s">
        <v>570</v>
      </c>
      <c r="F213" s="30">
        <v>46054</v>
      </c>
      <c r="G213" s="19" t="s">
        <v>471</v>
      </c>
      <c r="H213" s="19" t="str">
        <f t="shared" ca="1" si="3"/>
        <v>0 Years, 4 Months, 2 Days</v>
      </c>
      <c r="I213" s="16" t="s">
        <v>598</v>
      </c>
      <c r="J213" s="4" t="s">
        <v>473</v>
      </c>
      <c r="K213" s="6" t="s">
        <v>599</v>
      </c>
      <c r="L213" s="6"/>
      <c r="M213" s="9">
        <v>122066</v>
      </c>
      <c r="N213" s="4" t="s">
        <v>572</v>
      </c>
      <c r="O213" s="4" t="str">
        <f>VLOOKUP(Table1[[#This Row],[Supervisors'' Enroll]],[1]EmployeeMonthLyStatus!$B$2:$G$2474,6,FALSE)</f>
        <v>Deputy Manager</v>
      </c>
      <c r="P213" s="18" t="s">
        <v>573</v>
      </c>
      <c r="Q213" s="3" t="s">
        <v>32</v>
      </c>
      <c r="R213" s="3" t="s">
        <v>33</v>
      </c>
      <c r="S213" s="4"/>
    </row>
    <row r="214" spans="1:19" ht="17.45">
      <c r="A214" s="3">
        <f>SUBTOTAL(103,$B$4:B214)</f>
        <v>211</v>
      </c>
      <c r="B214" s="8">
        <v>559821</v>
      </c>
      <c r="C214" s="5" t="s">
        <v>600</v>
      </c>
      <c r="D214" s="4" t="s">
        <v>38</v>
      </c>
      <c r="E214" s="4" t="s">
        <v>601</v>
      </c>
      <c r="F214" s="30">
        <v>45991</v>
      </c>
      <c r="G214" s="19" t="s">
        <v>26</v>
      </c>
      <c r="H214" s="19" t="str">
        <f t="shared" ca="1" si="3"/>
        <v>0 Years, 6 Months, 4 Days</v>
      </c>
      <c r="I214" s="4" t="s">
        <v>602</v>
      </c>
      <c r="J214" s="4" t="s">
        <v>28</v>
      </c>
      <c r="K214" s="6">
        <v>1831885868</v>
      </c>
      <c r="L214" s="6" t="s">
        <v>42</v>
      </c>
      <c r="M214" s="9">
        <v>1040</v>
      </c>
      <c r="N214" s="4" t="s">
        <v>29</v>
      </c>
      <c r="O214" s="4" t="s">
        <v>30</v>
      </c>
      <c r="P214" s="4" t="s">
        <v>31</v>
      </c>
      <c r="Q214" s="3" t="s">
        <v>32</v>
      </c>
      <c r="R214" s="3" t="s">
        <v>33</v>
      </c>
      <c r="S214" s="4"/>
    </row>
    <row r="215" spans="1:19" ht="17.45">
      <c r="A215" s="3">
        <f>SUBTOTAL(103,$B$4:B215)</f>
        <v>212</v>
      </c>
      <c r="B215" s="8">
        <v>541713</v>
      </c>
      <c r="C215" s="5" t="s">
        <v>603</v>
      </c>
      <c r="D215" s="4" t="s">
        <v>35</v>
      </c>
      <c r="E215" s="4" t="s">
        <v>601</v>
      </c>
      <c r="F215" s="30">
        <v>45341</v>
      </c>
      <c r="G215" s="19" t="s">
        <v>56</v>
      </c>
      <c r="H215" s="19" t="str">
        <f t="shared" ca="1" si="3"/>
        <v>2 Years, 3 Months, 15 Days</v>
      </c>
      <c r="I215" s="4" t="s">
        <v>604</v>
      </c>
      <c r="J215" s="4" t="s">
        <v>58</v>
      </c>
      <c r="K215" s="6">
        <v>1843866098</v>
      </c>
      <c r="L215" s="6">
        <v>1324762446</v>
      </c>
      <c r="M215" s="9">
        <v>1040</v>
      </c>
      <c r="N215" s="4" t="s">
        <v>29</v>
      </c>
      <c r="O215" s="4" t="s">
        <v>30</v>
      </c>
      <c r="P215" s="4" t="s">
        <v>31</v>
      </c>
      <c r="Q215" s="3" t="s">
        <v>32</v>
      </c>
      <c r="R215" s="3" t="s">
        <v>33</v>
      </c>
      <c r="S215" s="4"/>
    </row>
    <row r="216" spans="1:19" ht="17.45">
      <c r="A216" s="3">
        <f>SUBTOTAL(103,$B$4:B216)</f>
        <v>213</v>
      </c>
      <c r="B216" s="8">
        <v>549568</v>
      </c>
      <c r="C216" s="5" t="s">
        <v>605</v>
      </c>
      <c r="D216" s="4" t="s">
        <v>35</v>
      </c>
      <c r="E216" s="4" t="s">
        <v>601</v>
      </c>
      <c r="F216" s="30">
        <v>45658</v>
      </c>
      <c r="G216" s="19" t="s">
        <v>56</v>
      </c>
      <c r="H216" s="19" t="str">
        <f t="shared" ca="1" si="3"/>
        <v>1 Years, 5 Months, 2 Days</v>
      </c>
      <c r="I216" s="4" t="s">
        <v>606</v>
      </c>
      <c r="J216" s="4" t="s">
        <v>58</v>
      </c>
      <c r="K216" s="6">
        <v>1334762310</v>
      </c>
      <c r="L216" s="6" t="s">
        <v>42</v>
      </c>
      <c r="M216" s="9">
        <v>1040</v>
      </c>
      <c r="N216" s="4" t="s">
        <v>29</v>
      </c>
      <c r="O216" s="4" t="s">
        <v>30</v>
      </c>
      <c r="P216" s="4" t="s">
        <v>31</v>
      </c>
      <c r="Q216" s="3" t="s">
        <v>32</v>
      </c>
      <c r="R216" s="3" t="s">
        <v>33</v>
      </c>
      <c r="S216" s="4"/>
    </row>
    <row r="217" spans="1:19" ht="17.45">
      <c r="A217" s="3">
        <f>SUBTOTAL(103,$B$4:B217)</f>
        <v>214</v>
      </c>
      <c r="B217" s="8">
        <v>541714</v>
      </c>
      <c r="C217" s="5" t="s">
        <v>607</v>
      </c>
      <c r="D217" s="4" t="s">
        <v>35</v>
      </c>
      <c r="E217" s="4" t="s">
        <v>601</v>
      </c>
      <c r="F217" s="30">
        <v>45341</v>
      </c>
      <c r="G217" s="19" t="s">
        <v>56</v>
      </c>
      <c r="H217" s="19" t="str">
        <f t="shared" ca="1" si="3"/>
        <v>2 Years, 3 Months, 15 Days</v>
      </c>
      <c r="I217" s="4" t="s">
        <v>608</v>
      </c>
      <c r="J217" s="4" t="s">
        <v>58</v>
      </c>
      <c r="K217" s="6">
        <v>1747325729</v>
      </c>
      <c r="L217" s="6" t="s">
        <v>42</v>
      </c>
      <c r="M217" s="9">
        <v>377766</v>
      </c>
      <c r="N217" s="4" t="s">
        <v>68</v>
      </c>
      <c r="O217" s="4" t="s">
        <v>30</v>
      </c>
      <c r="P217" s="4" t="s">
        <v>69</v>
      </c>
      <c r="Q217" s="3" t="s">
        <v>32</v>
      </c>
      <c r="R217" s="3" t="s">
        <v>33</v>
      </c>
      <c r="S217" s="4"/>
    </row>
    <row r="218" spans="1:19" ht="17.45">
      <c r="A218" s="3">
        <f>SUBTOTAL(103,$B$4:B218)</f>
        <v>215</v>
      </c>
      <c r="B218" s="8">
        <v>549494</v>
      </c>
      <c r="C218" s="5" t="s">
        <v>609</v>
      </c>
      <c r="D218" s="4" t="s">
        <v>48</v>
      </c>
      <c r="E218" s="4" t="s">
        <v>601</v>
      </c>
      <c r="F218" s="30">
        <v>45656</v>
      </c>
      <c r="G218" s="19" t="s">
        <v>56</v>
      </c>
      <c r="H218" s="19" t="str">
        <f t="shared" ca="1" si="3"/>
        <v>1 Years, 5 Months, 4 Days</v>
      </c>
      <c r="I218" s="4" t="s">
        <v>610</v>
      </c>
      <c r="J218" s="4" t="s">
        <v>58</v>
      </c>
      <c r="K218" s="6">
        <v>1843517222</v>
      </c>
      <c r="L218" s="6" t="s">
        <v>42</v>
      </c>
      <c r="M218" s="9">
        <v>377766</v>
      </c>
      <c r="N218" s="4" t="s">
        <v>68</v>
      </c>
      <c r="O218" s="4" t="s">
        <v>30</v>
      </c>
      <c r="P218" s="4" t="s">
        <v>69</v>
      </c>
      <c r="Q218" s="3" t="s">
        <v>32</v>
      </c>
      <c r="R218" s="3" t="s">
        <v>33</v>
      </c>
      <c r="S218" s="4"/>
    </row>
    <row r="219" spans="1:19" ht="17.45">
      <c r="A219" s="3">
        <f>SUBTOTAL(103,$B$4:B219)</f>
        <v>216</v>
      </c>
      <c r="B219" s="8">
        <v>558599</v>
      </c>
      <c r="C219" s="5" t="s">
        <v>611</v>
      </c>
      <c r="D219" s="4" t="s">
        <v>48</v>
      </c>
      <c r="E219" s="4" t="s">
        <v>601</v>
      </c>
      <c r="F219" s="30">
        <v>45953</v>
      </c>
      <c r="G219" s="19" t="s">
        <v>26</v>
      </c>
      <c r="H219" s="19" t="str">
        <f t="shared" ca="1" si="3"/>
        <v>0 Years, 7 Months, 11 Days</v>
      </c>
      <c r="I219" s="4" t="s">
        <v>612</v>
      </c>
      <c r="J219" s="4" t="s">
        <v>28</v>
      </c>
      <c r="K219" s="6">
        <v>1792785563</v>
      </c>
      <c r="L219" s="6" t="s">
        <v>42</v>
      </c>
      <c r="M219" s="9">
        <v>378038</v>
      </c>
      <c r="N219" s="4" t="s">
        <v>93</v>
      </c>
      <c r="O219" s="4" t="s">
        <v>94</v>
      </c>
      <c r="P219" s="4" t="s">
        <v>95</v>
      </c>
      <c r="Q219" s="3" t="s">
        <v>32</v>
      </c>
      <c r="R219" s="3" t="s">
        <v>33</v>
      </c>
      <c r="S219" s="4"/>
    </row>
    <row r="220" spans="1:19" ht="17.45">
      <c r="A220" s="3">
        <f>SUBTOTAL(103,$B$4:B220)</f>
        <v>217</v>
      </c>
      <c r="B220" s="8">
        <v>542729</v>
      </c>
      <c r="C220" s="5" t="s">
        <v>613</v>
      </c>
      <c r="D220" s="4" t="s">
        <v>38</v>
      </c>
      <c r="E220" s="4" t="s">
        <v>601</v>
      </c>
      <c r="F220" s="30">
        <v>45414</v>
      </c>
      <c r="G220" s="19" t="s">
        <v>56</v>
      </c>
      <c r="H220" s="19" t="str">
        <f t="shared" ca="1" si="3"/>
        <v>2 Years, 1 Months, 1 Days</v>
      </c>
      <c r="I220" s="4" t="s">
        <v>614</v>
      </c>
      <c r="J220" s="4" t="s">
        <v>58</v>
      </c>
      <c r="K220" s="6">
        <v>1715488072</v>
      </c>
      <c r="L220" s="6">
        <v>1334762340</v>
      </c>
      <c r="M220" s="9">
        <v>378038</v>
      </c>
      <c r="N220" s="4" t="s">
        <v>68</v>
      </c>
      <c r="O220" s="4" t="s">
        <v>94</v>
      </c>
      <c r="P220" s="4" t="s">
        <v>95</v>
      </c>
      <c r="Q220" s="3" t="s">
        <v>32</v>
      </c>
      <c r="R220" s="3" t="s">
        <v>33</v>
      </c>
      <c r="S220" s="4"/>
    </row>
    <row r="221" spans="1:19" ht="17.45">
      <c r="A221" s="3">
        <f>SUBTOTAL(103,$B$4:B221)</f>
        <v>218</v>
      </c>
      <c r="B221" s="8">
        <v>529352</v>
      </c>
      <c r="C221" s="5" t="s">
        <v>615</v>
      </c>
      <c r="D221" s="4" t="s">
        <v>61</v>
      </c>
      <c r="E221" s="4" t="s">
        <v>601</v>
      </c>
      <c r="F221" s="30">
        <v>44713</v>
      </c>
      <c r="G221" s="19" t="s">
        <v>113</v>
      </c>
      <c r="H221" s="19" t="str">
        <f t="shared" ca="1" si="3"/>
        <v>4 Years, 0 Months, 2 Days</v>
      </c>
      <c r="I221" s="4" t="s">
        <v>616</v>
      </c>
      <c r="J221" s="4" t="s">
        <v>115</v>
      </c>
      <c r="K221" s="6">
        <v>1783411683</v>
      </c>
      <c r="L221" s="6">
        <v>1324762725</v>
      </c>
      <c r="M221" s="9">
        <v>525837</v>
      </c>
      <c r="N221" s="4" t="s">
        <v>120</v>
      </c>
      <c r="O221" s="4" t="s">
        <v>121</v>
      </c>
      <c r="P221" s="4" t="s">
        <v>122</v>
      </c>
      <c r="Q221" s="3" t="s">
        <v>32</v>
      </c>
      <c r="R221" s="3" t="s">
        <v>33</v>
      </c>
      <c r="S221" s="4"/>
    </row>
    <row r="222" spans="1:19" ht="17.45">
      <c r="A222" s="3">
        <f>SUBTOTAL(103,$B$4:B222)</f>
        <v>219</v>
      </c>
      <c r="B222" s="8">
        <v>550334</v>
      </c>
      <c r="C222" s="5" t="s">
        <v>147</v>
      </c>
      <c r="D222" s="4" t="s">
        <v>30</v>
      </c>
      <c r="E222" s="4" t="s">
        <v>601</v>
      </c>
      <c r="F222" s="30">
        <v>45683</v>
      </c>
      <c r="G222" s="19" t="s">
        <v>113</v>
      </c>
      <c r="H222" s="19" t="str">
        <f t="shared" ca="1" si="3"/>
        <v>1 Years, 4 Months, 8 Days</v>
      </c>
      <c r="I222" s="4" t="s">
        <v>148</v>
      </c>
      <c r="J222" s="4" t="s">
        <v>115</v>
      </c>
      <c r="K222" s="6">
        <v>1817256773</v>
      </c>
      <c r="L222" s="6" t="s">
        <v>42</v>
      </c>
      <c r="M222" s="9">
        <v>525837</v>
      </c>
      <c r="N222" s="4" t="s">
        <v>120</v>
      </c>
      <c r="O222" s="4" t="s">
        <v>121</v>
      </c>
      <c r="P222" s="4" t="s">
        <v>122</v>
      </c>
      <c r="Q222" s="3" t="s">
        <v>32</v>
      </c>
      <c r="R222" s="3" t="s">
        <v>33</v>
      </c>
      <c r="S222" s="4"/>
    </row>
    <row r="223" spans="1:19" ht="17.45">
      <c r="A223" s="3">
        <f>SUBTOTAL(103,$B$4:B223)</f>
        <v>220</v>
      </c>
      <c r="B223" s="8">
        <v>540613</v>
      </c>
      <c r="C223" s="5" t="s">
        <v>617</v>
      </c>
      <c r="D223" s="4" t="s">
        <v>35</v>
      </c>
      <c r="E223" s="4" t="s">
        <v>601</v>
      </c>
      <c r="F223" s="30">
        <v>45286</v>
      </c>
      <c r="G223" s="19" t="s">
        <v>113</v>
      </c>
      <c r="H223" s="19" t="str">
        <f t="shared" ca="1" si="3"/>
        <v>2 Years, 5 Months, 8 Days</v>
      </c>
      <c r="I223" s="4" t="s">
        <v>618</v>
      </c>
      <c r="J223" s="4" t="s">
        <v>115</v>
      </c>
      <c r="K223" s="6">
        <v>1766306345</v>
      </c>
      <c r="L223" s="6">
        <v>1324762749</v>
      </c>
      <c r="M223" s="9">
        <v>550334</v>
      </c>
      <c r="N223" s="4" t="s">
        <v>147</v>
      </c>
      <c r="O223" s="4" t="s">
        <v>30</v>
      </c>
      <c r="P223" s="4" t="s">
        <v>148</v>
      </c>
      <c r="Q223" s="3" t="s">
        <v>32</v>
      </c>
      <c r="R223" s="3" t="s">
        <v>33</v>
      </c>
      <c r="S223" s="4"/>
    </row>
    <row r="224" spans="1:19" ht="17.45">
      <c r="A224" s="3">
        <f>SUBTOTAL(103,$B$4:B224)</f>
        <v>221</v>
      </c>
      <c r="B224" s="8">
        <v>550105</v>
      </c>
      <c r="C224" s="5" t="s">
        <v>619</v>
      </c>
      <c r="D224" s="4" t="s">
        <v>48</v>
      </c>
      <c r="E224" s="4" t="s">
        <v>601</v>
      </c>
      <c r="F224" s="30">
        <v>45673</v>
      </c>
      <c r="G224" s="19" t="s">
        <v>144</v>
      </c>
      <c r="H224" s="19" t="str">
        <f t="shared" ca="1" si="3"/>
        <v>1 Years, 4 Months, 18 Days</v>
      </c>
      <c r="I224" s="4" t="s">
        <v>620</v>
      </c>
      <c r="J224" s="4" t="s">
        <v>146</v>
      </c>
      <c r="K224" s="6">
        <v>1303714397</v>
      </c>
      <c r="L224" s="6" t="s">
        <v>42</v>
      </c>
      <c r="M224" s="9">
        <v>550334</v>
      </c>
      <c r="N224" s="4" t="s">
        <v>147</v>
      </c>
      <c r="O224" s="4" t="s">
        <v>30</v>
      </c>
      <c r="P224" s="4" t="s">
        <v>148</v>
      </c>
      <c r="Q224" s="3" t="s">
        <v>32</v>
      </c>
      <c r="R224" s="3" t="s">
        <v>33</v>
      </c>
      <c r="S224" s="4"/>
    </row>
    <row r="225" spans="1:19" ht="17.45">
      <c r="A225" s="3">
        <f>SUBTOTAL(103,$B$4:B225)</f>
        <v>222</v>
      </c>
      <c r="B225" s="8">
        <v>549499</v>
      </c>
      <c r="C225" s="5" t="s">
        <v>621</v>
      </c>
      <c r="D225" s="4" t="s">
        <v>48</v>
      </c>
      <c r="E225" s="4" t="s">
        <v>601</v>
      </c>
      <c r="F225" s="30">
        <v>45656</v>
      </c>
      <c r="G225" s="19" t="s">
        <v>152</v>
      </c>
      <c r="H225" s="19" t="str">
        <f t="shared" ca="1" si="3"/>
        <v>1 Years, 5 Months, 4 Days</v>
      </c>
      <c r="I225" s="4" t="s">
        <v>622</v>
      </c>
      <c r="J225" s="4" t="s">
        <v>154</v>
      </c>
      <c r="K225" s="6">
        <v>1733466244</v>
      </c>
      <c r="L225" s="6" t="s">
        <v>42</v>
      </c>
      <c r="M225" s="9">
        <v>550334</v>
      </c>
      <c r="N225" s="4" t="s">
        <v>147</v>
      </c>
      <c r="O225" s="4" t="s">
        <v>30</v>
      </c>
      <c r="P225" s="4" t="s">
        <v>148</v>
      </c>
      <c r="Q225" s="3" t="s">
        <v>32</v>
      </c>
      <c r="R225" s="3" t="s">
        <v>33</v>
      </c>
      <c r="S225" s="4"/>
    </row>
    <row r="226" spans="1:19" ht="17.45">
      <c r="A226" s="3">
        <f>SUBTOTAL(103,$B$4:B226)</f>
        <v>223</v>
      </c>
      <c r="B226" s="8">
        <v>556513</v>
      </c>
      <c r="C226" s="5" t="s">
        <v>623</v>
      </c>
      <c r="D226" s="4" t="s">
        <v>48</v>
      </c>
      <c r="E226" s="4" t="s">
        <v>601</v>
      </c>
      <c r="F226" s="30">
        <v>45901</v>
      </c>
      <c r="G226" s="19" t="s">
        <v>152</v>
      </c>
      <c r="H226" s="19" t="str">
        <f t="shared" ca="1" si="3"/>
        <v>0 Years, 9 Months, 2 Days</v>
      </c>
      <c r="I226" s="4" t="s">
        <v>624</v>
      </c>
      <c r="J226" s="4" t="s">
        <v>154</v>
      </c>
      <c r="K226" s="6">
        <v>1518476028</v>
      </c>
      <c r="L226" s="6" t="s">
        <v>42</v>
      </c>
      <c r="M226" s="9">
        <v>550334</v>
      </c>
      <c r="N226" s="4" t="s">
        <v>147</v>
      </c>
      <c r="O226" s="4" t="s">
        <v>30</v>
      </c>
      <c r="P226" s="4" t="s">
        <v>148</v>
      </c>
      <c r="Q226" s="3" t="s">
        <v>32</v>
      </c>
      <c r="R226" s="3" t="s">
        <v>33</v>
      </c>
      <c r="S226" s="4"/>
    </row>
    <row r="227" spans="1:19" ht="17.45">
      <c r="A227" s="3">
        <f>SUBTOTAL(103,$B$4:B227)</f>
        <v>224</v>
      </c>
      <c r="B227" s="8">
        <v>552291</v>
      </c>
      <c r="C227" s="5" t="s">
        <v>625</v>
      </c>
      <c r="D227" s="4" t="s">
        <v>35</v>
      </c>
      <c r="E227" s="4" t="s">
        <v>601</v>
      </c>
      <c r="F227" s="30">
        <v>45763</v>
      </c>
      <c r="G227" s="19" t="s">
        <v>166</v>
      </c>
      <c r="H227" s="19" t="str">
        <f t="shared" ca="1" si="3"/>
        <v>1 Years, 1 Months, 18 Days</v>
      </c>
      <c r="I227" s="4" t="s">
        <v>626</v>
      </c>
      <c r="J227" s="4" t="s">
        <v>168</v>
      </c>
      <c r="K227" s="6">
        <v>1828777826</v>
      </c>
      <c r="L227" s="6" t="s">
        <v>42</v>
      </c>
      <c r="M227" s="9">
        <v>550334</v>
      </c>
      <c r="N227" s="4" t="s">
        <v>147</v>
      </c>
      <c r="O227" s="4" t="s">
        <v>30</v>
      </c>
      <c r="P227" s="4" t="s">
        <v>148</v>
      </c>
      <c r="Q227" s="3" t="s">
        <v>32</v>
      </c>
      <c r="R227" s="3" t="s">
        <v>33</v>
      </c>
      <c r="S227" s="4"/>
    </row>
    <row r="228" spans="1:19" ht="17.45">
      <c r="A228" s="3">
        <f>SUBTOTAL(103,$B$4:B228)</f>
        <v>225</v>
      </c>
      <c r="B228" s="8">
        <v>553988</v>
      </c>
      <c r="C228" s="5" t="s">
        <v>627</v>
      </c>
      <c r="D228" s="4" t="s">
        <v>35</v>
      </c>
      <c r="E228" s="4" t="s">
        <v>601</v>
      </c>
      <c r="F228" s="30">
        <v>45824</v>
      </c>
      <c r="G228" s="19" t="s">
        <v>166</v>
      </c>
      <c r="H228" s="19" t="str">
        <f t="shared" ca="1" si="3"/>
        <v>0 Years, 11 Months, 18 Days</v>
      </c>
      <c r="I228" s="4" t="s">
        <v>628</v>
      </c>
      <c r="J228" s="4" t="s">
        <v>168</v>
      </c>
      <c r="K228" s="6">
        <v>1687257468</v>
      </c>
      <c r="L228" s="6" t="s">
        <v>42</v>
      </c>
      <c r="M228" s="9">
        <v>550334</v>
      </c>
      <c r="N228" s="4" t="s">
        <v>147</v>
      </c>
      <c r="O228" s="4" t="s">
        <v>30</v>
      </c>
      <c r="P228" s="4" t="s">
        <v>148</v>
      </c>
      <c r="Q228" s="3" t="s">
        <v>32</v>
      </c>
      <c r="R228" s="3" t="s">
        <v>33</v>
      </c>
      <c r="S228" s="4"/>
    </row>
    <row r="229" spans="1:19" ht="17.45">
      <c r="A229" s="3">
        <f>SUBTOTAL(103,$B$4:B229)</f>
        <v>226</v>
      </c>
      <c r="B229" s="8">
        <v>554609</v>
      </c>
      <c r="C229" s="5" t="s">
        <v>629</v>
      </c>
      <c r="D229" s="4" t="s">
        <v>35</v>
      </c>
      <c r="E229" s="4" t="s">
        <v>601</v>
      </c>
      <c r="F229" s="30">
        <v>45841</v>
      </c>
      <c r="G229" s="19" t="s">
        <v>166</v>
      </c>
      <c r="H229" s="19" t="str">
        <f t="shared" ca="1" si="3"/>
        <v>0 Years, 11 Months, 0 Days</v>
      </c>
      <c r="I229" s="4" t="s">
        <v>630</v>
      </c>
      <c r="J229" s="4" t="s">
        <v>168</v>
      </c>
      <c r="K229" s="6">
        <v>1873443289</v>
      </c>
      <c r="L229" s="6" t="s">
        <v>42</v>
      </c>
      <c r="M229" s="9">
        <v>550334</v>
      </c>
      <c r="N229" s="4" t="s">
        <v>147</v>
      </c>
      <c r="O229" s="4" t="s">
        <v>30</v>
      </c>
      <c r="P229" s="4" t="s">
        <v>148</v>
      </c>
      <c r="Q229" s="3" t="s">
        <v>32</v>
      </c>
      <c r="R229" s="3" t="s">
        <v>33</v>
      </c>
      <c r="S229" s="4"/>
    </row>
    <row r="230" spans="1:19" ht="17.45">
      <c r="A230" s="3">
        <f>SUBTOTAL(103,$B$4:B230)</f>
        <v>227</v>
      </c>
      <c r="B230" s="8">
        <v>551986</v>
      </c>
      <c r="C230" s="5" t="s">
        <v>631</v>
      </c>
      <c r="D230" s="4" t="s">
        <v>35</v>
      </c>
      <c r="E230" s="4" t="s">
        <v>601</v>
      </c>
      <c r="F230" s="30">
        <v>45754</v>
      </c>
      <c r="G230" s="19" t="s">
        <v>156</v>
      </c>
      <c r="H230" s="19" t="str">
        <f t="shared" ca="1" si="3"/>
        <v>1 Years, 1 Months, 27 Days</v>
      </c>
      <c r="I230" s="4" t="s">
        <v>632</v>
      </c>
      <c r="J230" s="4" t="s">
        <v>158</v>
      </c>
      <c r="K230" s="6">
        <v>1737533158</v>
      </c>
      <c r="L230" s="6" t="s">
        <v>42</v>
      </c>
      <c r="M230" s="9">
        <v>550334</v>
      </c>
      <c r="N230" s="4" t="s">
        <v>147</v>
      </c>
      <c r="O230" s="4" t="s">
        <v>30</v>
      </c>
      <c r="P230" s="4" t="s">
        <v>148</v>
      </c>
      <c r="Q230" s="3" t="s">
        <v>32</v>
      </c>
      <c r="R230" s="3" t="s">
        <v>33</v>
      </c>
      <c r="S230" s="4"/>
    </row>
    <row r="231" spans="1:19" ht="17.45">
      <c r="A231" s="3">
        <f>SUBTOTAL(103,$B$4:B231)</f>
        <v>228</v>
      </c>
      <c r="B231" s="8">
        <v>553987</v>
      </c>
      <c r="C231" s="5" t="s">
        <v>633</v>
      </c>
      <c r="D231" s="4" t="s">
        <v>35</v>
      </c>
      <c r="E231" s="4" t="s">
        <v>601</v>
      </c>
      <c r="F231" s="30">
        <v>45824</v>
      </c>
      <c r="G231" s="19" t="s">
        <v>152</v>
      </c>
      <c r="H231" s="19" t="str">
        <f t="shared" ca="1" si="3"/>
        <v>0 Years, 11 Months, 18 Days</v>
      </c>
      <c r="I231" s="4" t="s">
        <v>634</v>
      </c>
      <c r="J231" s="4" t="s">
        <v>635</v>
      </c>
      <c r="K231" s="6">
        <v>1683803853</v>
      </c>
      <c r="L231" s="6" t="s">
        <v>42</v>
      </c>
      <c r="M231" s="9">
        <v>550334</v>
      </c>
      <c r="N231" s="4" t="s">
        <v>147</v>
      </c>
      <c r="O231" s="4" t="s">
        <v>30</v>
      </c>
      <c r="P231" s="4" t="s">
        <v>148</v>
      </c>
      <c r="Q231" s="3" t="s">
        <v>32</v>
      </c>
      <c r="R231" s="3" t="s">
        <v>33</v>
      </c>
      <c r="S231" s="4"/>
    </row>
    <row r="232" spans="1:19" ht="17.45">
      <c r="A232" s="3">
        <f>SUBTOTAL(103,$B$4:B232)</f>
        <v>229</v>
      </c>
      <c r="B232" s="8">
        <v>557166</v>
      </c>
      <c r="C232" s="5" t="s">
        <v>636</v>
      </c>
      <c r="D232" s="4" t="s">
        <v>48</v>
      </c>
      <c r="E232" s="4" t="s">
        <v>601</v>
      </c>
      <c r="F232" s="30">
        <v>45914</v>
      </c>
      <c r="G232" s="19" t="s">
        <v>135</v>
      </c>
      <c r="H232" s="19" t="str">
        <f t="shared" ca="1" si="3"/>
        <v>0 Years, 8 Months, 20 Days</v>
      </c>
      <c r="I232" s="4" t="s">
        <v>637</v>
      </c>
      <c r="J232" s="4" t="s">
        <v>137</v>
      </c>
      <c r="K232" s="6">
        <v>1629792569</v>
      </c>
      <c r="L232" s="6" t="s">
        <v>42</v>
      </c>
      <c r="M232" s="9">
        <v>550334</v>
      </c>
      <c r="N232" s="4" t="s">
        <v>147</v>
      </c>
      <c r="O232" s="4" t="s">
        <v>30</v>
      </c>
      <c r="P232" s="4" t="s">
        <v>148</v>
      </c>
      <c r="Q232" s="3" t="s">
        <v>32</v>
      </c>
      <c r="R232" s="3" t="s">
        <v>33</v>
      </c>
      <c r="S232" s="4"/>
    </row>
    <row r="233" spans="1:19" ht="17.45">
      <c r="A233" s="3">
        <f>SUBTOTAL(103,$B$4:B233)</f>
        <v>230</v>
      </c>
      <c r="B233" s="8">
        <v>553254</v>
      </c>
      <c r="C233" s="5" t="s">
        <v>638</v>
      </c>
      <c r="D233" s="4" t="s">
        <v>38</v>
      </c>
      <c r="E233" s="4" t="s">
        <v>639</v>
      </c>
      <c r="F233" s="30">
        <v>45789</v>
      </c>
      <c r="G233" s="19" t="s">
        <v>640</v>
      </c>
      <c r="H233" s="19" t="str">
        <f t="shared" ca="1" si="3"/>
        <v>1 Years, 0 Months, 22 Days</v>
      </c>
      <c r="I233" s="4" t="s">
        <v>641</v>
      </c>
      <c r="J233" s="4" t="s">
        <v>642</v>
      </c>
      <c r="K233" s="6">
        <v>1815200971</v>
      </c>
      <c r="L233" s="6" t="s">
        <v>42</v>
      </c>
      <c r="M233" s="9">
        <v>462555</v>
      </c>
      <c r="N233" s="4" t="s">
        <v>643</v>
      </c>
      <c r="O233" s="4" t="s">
        <v>24</v>
      </c>
      <c r="P233" s="4" t="s">
        <v>644</v>
      </c>
      <c r="Q233" s="3" t="s">
        <v>32</v>
      </c>
      <c r="R233" s="3" t="s">
        <v>33</v>
      </c>
      <c r="S233" s="4"/>
    </row>
    <row r="234" spans="1:19" ht="17.45">
      <c r="A234" s="3">
        <f>SUBTOTAL(103,$B$4:B234)</f>
        <v>231</v>
      </c>
      <c r="B234" s="8">
        <v>462555</v>
      </c>
      <c r="C234" s="5" t="s">
        <v>643</v>
      </c>
      <c r="D234" s="4" t="s">
        <v>24</v>
      </c>
      <c r="E234" s="4" t="s">
        <v>639</v>
      </c>
      <c r="F234" s="30">
        <v>43739</v>
      </c>
      <c r="G234" s="19" t="s">
        <v>645</v>
      </c>
      <c r="H234" s="19" t="str">
        <f t="shared" ca="1" si="3"/>
        <v>6 Years, 8 Months, 2 Days</v>
      </c>
      <c r="I234" s="4" t="s">
        <v>644</v>
      </c>
      <c r="J234" s="4" t="s">
        <v>642</v>
      </c>
      <c r="K234" s="6">
        <v>1713020625</v>
      </c>
      <c r="L234" s="6">
        <v>1713020625</v>
      </c>
      <c r="M234" s="9">
        <v>529668</v>
      </c>
      <c r="N234" s="4" t="s">
        <v>228</v>
      </c>
      <c r="O234" s="4" t="s">
        <v>211</v>
      </c>
      <c r="P234" s="4" t="s">
        <v>229</v>
      </c>
      <c r="Q234" s="3" t="s">
        <v>32</v>
      </c>
      <c r="R234" s="3" t="s">
        <v>33</v>
      </c>
      <c r="S234" s="4"/>
    </row>
    <row r="235" spans="1:19" ht="17.45">
      <c r="A235" s="3">
        <f>SUBTOTAL(103,$B$4:B235)</f>
        <v>232</v>
      </c>
      <c r="B235" s="8">
        <v>542514</v>
      </c>
      <c r="C235" s="5" t="s">
        <v>646</v>
      </c>
      <c r="D235" s="4" t="s">
        <v>250</v>
      </c>
      <c r="E235" s="4" t="s">
        <v>647</v>
      </c>
      <c r="F235" s="30">
        <v>45398</v>
      </c>
      <c r="G235" s="19" t="s">
        <v>648</v>
      </c>
      <c r="H235" s="19" t="str">
        <f t="shared" ca="1" si="3"/>
        <v>2 Years, 1 Months, 18 Days</v>
      </c>
      <c r="I235" s="4" t="s">
        <v>649</v>
      </c>
      <c r="J235" s="4" t="s">
        <v>28</v>
      </c>
      <c r="K235" s="6">
        <v>1334762335</v>
      </c>
      <c r="L235" s="6">
        <v>1334762335</v>
      </c>
      <c r="M235" s="17">
        <v>58153</v>
      </c>
      <c r="N235" s="5" t="s">
        <v>650</v>
      </c>
      <c r="O235" s="4" t="s">
        <v>129</v>
      </c>
      <c r="P235" s="29" t="s">
        <v>651</v>
      </c>
      <c r="Q235" s="3" t="s">
        <v>32</v>
      </c>
      <c r="R235" s="3" t="s">
        <v>124</v>
      </c>
      <c r="S235" s="4" t="s">
        <v>652</v>
      </c>
    </row>
    <row r="236" spans="1:19" ht="17.45">
      <c r="A236" s="3">
        <f>SUBTOTAL(103,$B$4:B236)</f>
        <v>233</v>
      </c>
      <c r="B236" s="8">
        <v>58153</v>
      </c>
      <c r="C236" s="5" t="s">
        <v>653</v>
      </c>
      <c r="D236" s="4" t="s">
        <v>129</v>
      </c>
      <c r="E236" s="4" t="s">
        <v>647</v>
      </c>
      <c r="F236" s="30">
        <v>40544</v>
      </c>
      <c r="G236" s="19" t="s">
        <v>648</v>
      </c>
      <c r="H236" s="19" t="str">
        <f t="shared" ca="1" si="3"/>
        <v>15 Years, 5 Months, 2 Days</v>
      </c>
      <c r="I236" s="4" t="s">
        <v>651</v>
      </c>
      <c r="J236" s="4" t="s">
        <v>58</v>
      </c>
      <c r="K236" s="6">
        <v>1717684510</v>
      </c>
      <c r="L236" s="6">
        <v>1755630228</v>
      </c>
      <c r="M236" s="9">
        <v>540363</v>
      </c>
      <c r="N236" s="4" t="s">
        <v>210</v>
      </c>
      <c r="O236" s="4" t="s">
        <v>211</v>
      </c>
      <c r="P236" s="4" t="s">
        <v>212</v>
      </c>
      <c r="Q236" s="3" t="s">
        <v>123</v>
      </c>
      <c r="R236" s="3" t="s">
        <v>124</v>
      </c>
      <c r="S236" s="4" t="s">
        <v>654</v>
      </c>
    </row>
    <row r="237" spans="1:19" ht="17.45">
      <c r="A237" s="3">
        <f>SUBTOTAL(103,$B$4:B237)</f>
        <v>234</v>
      </c>
      <c r="B237" s="8">
        <v>548515</v>
      </c>
      <c r="C237" s="5" t="s">
        <v>655</v>
      </c>
      <c r="D237" s="4" t="s">
        <v>48</v>
      </c>
      <c r="E237" s="4" t="s">
        <v>647</v>
      </c>
      <c r="F237" s="30">
        <v>45613</v>
      </c>
      <c r="G237" s="19" t="s">
        <v>648</v>
      </c>
      <c r="H237" s="19" t="str">
        <f t="shared" ca="1" si="3"/>
        <v>1 Years, 6 Months, 17 Days</v>
      </c>
      <c r="I237" s="4" t="s">
        <v>656</v>
      </c>
      <c r="J237" s="4" t="s">
        <v>28</v>
      </c>
      <c r="K237" s="6">
        <v>1704505265</v>
      </c>
      <c r="L237" s="6" t="s">
        <v>42</v>
      </c>
      <c r="M237" s="9">
        <v>542514</v>
      </c>
      <c r="N237" s="4" t="s">
        <v>646</v>
      </c>
      <c r="O237" s="4" t="s">
        <v>250</v>
      </c>
      <c r="P237" s="4" t="s">
        <v>649</v>
      </c>
      <c r="Q237" s="3" t="s">
        <v>32</v>
      </c>
      <c r="R237" s="3" t="s">
        <v>33</v>
      </c>
      <c r="S237" s="4"/>
    </row>
    <row r="238" spans="1:19" ht="17.45">
      <c r="A238" s="3">
        <f>SUBTOTAL(103,$B$4:B238)</f>
        <v>235</v>
      </c>
      <c r="B238" s="8">
        <v>548767</v>
      </c>
      <c r="C238" s="5" t="s">
        <v>657</v>
      </c>
      <c r="D238" s="4" t="s">
        <v>48</v>
      </c>
      <c r="E238" s="4" t="s">
        <v>647</v>
      </c>
      <c r="F238" s="30">
        <v>45627</v>
      </c>
      <c r="G238" s="19" t="s">
        <v>648</v>
      </c>
      <c r="H238" s="19" t="str">
        <f t="shared" ca="1" si="3"/>
        <v>1 Years, 6 Months, 2 Days</v>
      </c>
      <c r="I238" s="4" t="s">
        <v>658</v>
      </c>
      <c r="J238" s="4" t="s">
        <v>28</v>
      </c>
      <c r="K238" s="6">
        <v>1784847411</v>
      </c>
      <c r="L238" s="6" t="s">
        <v>42</v>
      </c>
      <c r="M238" s="9">
        <v>542514</v>
      </c>
      <c r="N238" s="4" t="s">
        <v>646</v>
      </c>
      <c r="O238" s="4" t="s">
        <v>250</v>
      </c>
      <c r="P238" s="4" t="s">
        <v>649</v>
      </c>
      <c r="Q238" s="3" t="s">
        <v>32</v>
      </c>
      <c r="R238" s="3" t="s">
        <v>33</v>
      </c>
      <c r="S238" s="4"/>
    </row>
    <row r="239" spans="1:19" ht="17.45">
      <c r="A239" s="3">
        <f>SUBTOTAL(103,$B$4:B239)</f>
        <v>236</v>
      </c>
      <c r="B239" s="8">
        <v>534396</v>
      </c>
      <c r="C239" s="5" t="s">
        <v>659</v>
      </c>
      <c r="D239" s="4" t="s">
        <v>38</v>
      </c>
      <c r="E239" s="4" t="s">
        <v>647</v>
      </c>
      <c r="F239" s="30">
        <v>44958</v>
      </c>
      <c r="G239" s="19" t="s">
        <v>648</v>
      </c>
      <c r="H239" s="19" t="str">
        <f t="shared" ca="1" si="3"/>
        <v>3 Years, 4 Months, 2 Days</v>
      </c>
      <c r="I239" s="4" t="s">
        <v>660</v>
      </c>
      <c r="J239" s="4" t="s">
        <v>28</v>
      </c>
      <c r="K239" s="6"/>
      <c r="L239" s="6"/>
      <c r="M239" s="9">
        <v>542514</v>
      </c>
      <c r="N239" s="4" t="s">
        <v>646</v>
      </c>
      <c r="O239" s="4" t="s">
        <v>250</v>
      </c>
      <c r="P239" s="4" t="s">
        <v>649</v>
      </c>
      <c r="Q239" s="3" t="s">
        <v>32</v>
      </c>
      <c r="R239" s="3" t="s">
        <v>33</v>
      </c>
      <c r="S239" s="4"/>
    </row>
    <row r="240" spans="1:19" ht="17.45">
      <c r="A240" s="3">
        <f>SUBTOTAL(103,$B$4:B240)</f>
        <v>237</v>
      </c>
      <c r="B240" s="8">
        <v>563671</v>
      </c>
      <c r="C240" s="5" t="s">
        <v>661</v>
      </c>
      <c r="D240" s="4" t="s">
        <v>35</v>
      </c>
      <c r="E240" s="4" t="s">
        <v>647</v>
      </c>
      <c r="F240" s="30">
        <v>46118</v>
      </c>
      <c r="G240" s="19" t="s">
        <v>648</v>
      </c>
      <c r="H240" s="19" t="str">
        <f t="shared" ca="1" si="3"/>
        <v>0 Years, 1 Months, 28 Days</v>
      </c>
      <c r="I240" s="4" t="s">
        <v>662</v>
      </c>
      <c r="J240" s="4" t="s">
        <v>28</v>
      </c>
      <c r="K240" s="6" t="s">
        <v>663</v>
      </c>
      <c r="L240" s="6"/>
      <c r="M240" s="9">
        <v>542514</v>
      </c>
      <c r="N240" s="4" t="s">
        <v>646</v>
      </c>
      <c r="O240" s="4" t="s">
        <v>250</v>
      </c>
      <c r="P240" s="4" t="s">
        <v>649</v>
      </c>
      <c r="Q240" s="3" t="s">
        <v>32</v>
      </c>
      <c r="R240" s="3" t="s">
        <v>33</v>
      </c>
      <c r="S240" s="4"/>
    </row>
    <row r="241" spans="1:19" ht="17.45">
      <c r="A241" s="3">
        <f>SUBTOTAL(103,$B$4:B241)</f>
        <v>238</v>
      </c>
      <c r="B241" s="8">
        <v>525573</v>
      </c>
      <c r="C241" s="5" t="s">
        <v>664</v>
      </c>
      <c r="D241" s="4" t="s">
        <v>35</v>
      </c>
      <c r="E241" s="4" t="s">
        <v>665</v>
      </c>
      <c r="F241" s="30">
        <v>44602</v>
      </c>
      <c r="G241" s="19" t="s">
        <v>26</v>
      </c>
      <c r="H241" s="19" t="str">
        <f t="shared" ca="1" si="3"/>
        <v>4 Years, 3 Months, 24 Days</v>
      </c>
      <c r="I241" s="4" t="s">
        <v>666</v>
      </c>
      <c r="J241" s="4" t="s">
        <v>28</v>
      </c>
      <c r="K241" s="6">
        <v>1777743322</v>
      </c>
      <c r="L241" s="6">
        <v>1777743322</v>
      </c>
      <c r="M241" s="9">
        <v>1324</v>
      </c>
      <c r="N241" s="4" t="s">
        <v>567</v>
      </c>
      <c r="O241" s="4" t="s">
        <v>30</v>
      </c>
      <c r="P241" s="4" t="s">
        <v>568</v>
      </c>
      <c r="Q241" s="3" t="s">
        <v>32</v>
      </c>
      <c r="R241" s="3" t="s">
        <v>33</v>
      </c>
      <c r="S241" s="4"/>
    </row>
    <row r="242" spans="1:19" ht="17.45">
      <c r="A242" s="3">
        <f>SUBTOTAL(103,$B$4:B242)</f>
        <v>239</v>
      </c>
      <c r="B242" s="8">
        <v>543298</v>
      </c>
      <c r="C242" s="5" t="s">
        <v>667</v>
      </c>
      <c r="D242" s="4" t="s">
        <v>48</v>
      </c>
      <c r="E242" s="4" t="s">
        <v>665</v>
      </c>
      <c r="F242" s="30">
        <v>45428</v>
      </c>
      <c r="G242" s="19" t="s">
        <v>26</v>
      </c>
      <c r="H242" s="19" t="str">
        <f t="shared" ca="1" si="3"/>
        <v>2 Years, 0 Months, 18 Days</v>
      </c>
      <c r="I242" s="4" t="s">
        <v>668</v>
      </c>
      <c r="J242" s="4" t="s">
        <v>28</v>
      </c>
      <c r="K242" s="6">
        <v>1334762350</v>
      </c>
      <c r="L242" s="6" t="s">
        <v>42</v>
      </c>
      <c r="M242" s="9">
        <v>1324</v>
      </c>
      <c r="N242" s="4" t="s">
        <v>567</v>
      </c>
      <c r="O242" s="4" t="s">
        <v>30</v>
      </c>
      <c r="P242" s="4" t="s">
        <v>568</v>
      </c>
      <c r="Q242" s="3" t="s">
        <v>32</v>
      </c>
      <c r="R242" s="3" t="s">
        <v>33</v>
      </c>
      <c r="S242" s="4"/>
    </row>
    <row r="243" spans="1:19" ht="17.45">
      <c r="A243" s="3">
        <f>SUBTOTAL(103,$B$4:B243)</f>
        <v>240</v>
      </c>
      <c r="B243" s="8">
        <v>550381</v>
      </c>
      <c r="C243" s="5" t="s">
        <v>669</v>
      </c>
      <c r="D243" s="4" t="s">
        <v>48</v>
      </c>
      <c r="E243" s="4" t="s">
        <v>665</v>
      </c>
      <c r="F243" s="30">
        <v>45686</v>
      </c>
      <c r="G243" s="19" t="s">
        <v>26</v>
      </c>
      <c r="H243" s="19" t="str">
        <f t="shared" ca="1" si="3"/>
        <v>1 Years, 4 Months, 5 Days</v>
      </c>
      <c r="I243" s="4" t="s">
        <v>670</v>
      </c>
      <c r="J243" s="4" t="s">
        <v>28</v>
      </c>
      <c r="K243" s="6">
        <v>1334762515</v>
      </c>
      <c r="L243" s="6" t="s">
        <v>42</v>
      </c>
      <c r="M243" s="9">
        <v>1324</v>
      </c>
      <c r="N243" s="4" t="s">
        <v>567</v>
      </c>
      <c r="O243" s="4" t="s">
        <v>30</v>
      </c>
      <c r="P243" s="4" t="s">
        <v>568</v>
      </c>
      <c r="Q243" s="3" t="s">
        <v>32</v>
      </c>
      <c r="R243" s="3" t="s">
        <v>33</v>
      </c>
      <c r="S243" s="4"/>
    </row>
    <row r="244" spans="1:19" ht="17.45">
      <c r="A244" s="3">
        <f>SUBTOTAL(103,$B$4:B244)</f>
        <v>241</v>
      </c>
      <c r="B244" s="8">
        <v>539750</v>
      </c>
      <c r="C244" s="5" t="s">
        <v>671</v>
      </c>
      <c r="D244" s="4" t="s">
        <v>48</v>
      </c>
      <c r="E244" s="4" t="s">
        <v>665</v>
      </c>
      <c r="F244" s="30">
        <v>45231</v>
      </c>
      <c r="G244" s="19" t="s">
        <v>144</v>
      </c>
      <c r="H244" s="19" t="str">
        <f t="shared" ca="1" si="3"/>
        <v>2 Years, 7 Months, 2 Days</v>
      </c>
      <c r="I244" s="4" t="s">
        <v>672</v>
      </c>
      <c r="J244" s="4" t="s">
        <v>146</v>
      </c>
      <c r="K244" s="6">
        <v>1329645730</v>
      </c>
      <c r="L244" s="6">
        <v>1329645730</v>
      </c>
      <c r="M244" s="9">
        <v>1324</v>
      </c>
      <c r="N244" s="4" t="s">
        <v>567</v>
      </c>
      <c r="O244" s="4" t="s">
        <v>30</v>
      </c>
      <c r="P244" s="4" t="s">
        <v>568</v>
      </c>
      <c r="Q244" s="3" t="s">
        <v>32</v>
      </c>
      <c r="R244" s="3" t="s">
        <v>33</v>
      </c>
      <c r="S244" s="4"/>
    </row>
    <row r="245" spans="1:19" ht="17.45">
      <c r="A245" s="3">
        <f>SUBTOTAL(103,$B$4:B245)</f>
        <v>242</v>
      </c>
      <c r="B245" s="8">
        <v>560566</v>
      </c>
      <c r="C245" s="5" t="s">
        <v>673</v>
      </c>
      <c r="D245" s="4" t="s">
        <v>48</v>
      </c>
      <c r="E245" s="4" t="s">
        <v>665</v>
      </c>
      <c r="F245" s="30">
        <v>46012</v>
      </c>
      <c r="G245" s="19" t="s">
        <v>26</v>
      </c>
      <c r="H245" s="19" t="str">
        <f t="shared" ca="1" si="3"/>
        <v>0 Years, 5 Months, 13 Days</v>
      </c>
      <c r="I245" s="4" t="s">
        <v>674</v>
      </c>
      <c r="J245" s="4" t="s">
        <v>28</v>
      </c>
      <c r="K245" s="6"/>
      <c r="L245" s="6"/>
      <c r="M245" s="9">
        <v>1324</v>
      </c>
      <c r="N245" s="4" t="s">
        <v>567</v>
      </c>
      <c r="O245" s="4" t="s">
        <v>30</v>
      </c>
      <c r="P245" s="4" t="s">
        <v>568</v>
      </c>
      <c r="Q245" s="3" t="s">
        <v>32</v>
      </c>
      <c r="R245" s="3" t="s">
        <v>33</v>
      </c>
      <c r="S245" s="4"/>
    </row>
    <row r="246" spans="1:19" ht="17.45">
      <c r="A246" s="3">
        <f>SUBTOTAL(103,$B$4:B246)</f>
        <v>243</v>
      </c>
      <c r="B246" s="8">
        <v>537581</v>
      </c>
      <c r="C246" s="5" t="s">
        <v>636</v>
      </c>
      <c r="D246" s="4" t="s">
        <v>48</v>
      </c>
      <c r="E246" s="4" t="s">
        <v>665</v>
      </c>
      <c r="F246" s="30">
        <v>45110</v>
      </c>
      <c r="G246" s="19" t="s">
        <v>26</v>
      </c>
      <c r="H246" s="19" t="str">
        <f t="shared" ca="1" si="3"/>
        <v>2 Years, 11 Months, 0 Days</v>
      </c>
      <c r="I246" s="4" t="s">
        <v>675</v>
      </c>
      <c r="J246" s="4" t="s">
        <v>28</v>
      </c>
      <c r="K246" s="6">
        <v>1519610621</v>
      </c>
      <c r="L246" s="6">
        <v>1324762596</v>
      </c>
      <c r="M246" s="9">
        <v>197104</v>
      </c>
      <c r="N246" s="4" t="s">
        <v>676</v>
      </c>
      <c r="O246" s="4" t="s">
        <v>106</v>
      </c>
      <c r="P246" s="4" t="s">
        <v>677</v>
      </c>
      <c r="Q246" s="3" t="s">
        <v>32</v>
      </c>
      <c r="R246" s="3" t="s">
        <v>33</v>
      </c>
      <c r="S246" s="4"/>
    </row>
    <row r="247" spans="1:19" ht="17.45">
      <c r="A247" s="3">
        <f>SUBTOTAL(103,$B$4:B247)</f>
        <v>244</v>
      </c>
      <c r="B247" s="8">
        <v>554336</v>
      </c>
      <c r="C247" s="5" t="s">
        <v>678</v>
      </c>
      <c r="D247" s="4" t="s">
        <v>48</v>
      </c>
      <c r="E247" s="4" t="s">
        <v>665</v>
      </c>
      <c r="F247" s="30">
        <v>45832</v>
      </c>
      <c r="G247" s="19" t="s">
        <v>26</v>
      </c>
      <c r="H247" s="19" t="str">
        <f t="shared" ca="1" si="3"/>
        <v>0 Years, 11 Months, 10 Days</v>
      </c>
      <c r="I247" s="4" t="s">
        <v>679</v>
      </c>
      <c r="J247" s="4" t="s">
        <v>28</v>
      </c>
      <c r="K247" s="6">
        <v>1684248323</v>
      </c>
      <c r="L247" s="6" t="s">
        <v>42</v>
      </c>
      <c r="M247" s="9">
        <v>197104</v>
      </c>
      <c r="N247" s="4" t="s">
        <v>676</v>
      </c>
      <c r="O247" s="4" t="s">
        <v>106</v>
      </c>
      <c r="P247" s="4" t="s">
        <v>677</v>
      </c>
      <c r="Q247" s="3" t="s">
        <v>32</v>
      </c>
      <c r="R247" s="3" t="s">
        <v>33</v>
      </c>
      <c r="S247" s="4"/>
    </row>
    <row r="248" spans="1:19" ht="17.45">
      <c r="A248" s="3">
        <f>SUBTOTAL(103,$B$4:B248)</f>
        <v>245</v>
      </c>
      <c r="B248" s="8">
        <v>542481</v>
      </c>
      <c r="C248" s="5" t="s">
        <v>680</v>
      </c>
      <c r="D248" s="4" t="s">
        <v>48</v>
      </c>
      <c r="E248" s="4" t="s">
        <v>665</v>
      </c>
      <c r="F248" s="30">
        <v>45383</v>
      </c>
      <c r="G248" s="19" t="s">
        <v>56</v>
      </c>
      <c r="H248" s="19" t="str">
        <f t="shared" ca="1" si="3"/>
        <v>2 Years, 2 Months, 2 Days</v>
      </c>
      <c r="I248" s="4" t="s">
        <v>681</v>
      </c>
      <c r="J248" s="4" t="s">
        <v>58</v>
      </c>
      <c r="K248" s="6">
        <v>1777743333</v>
      </c>
      <c r="L248" s="6">
        <v>1777743333</v>
      </c>
      <c r="M248" s="9">
        <v>197104</v>
      </c>
      <c r="N248" s="4" t="s">
        <v>676</v>
      </c>
      <c r="O248" s="4" t="s">
        <v>106</v>
      </c>
      <c r="P248" s="4" t="s">
        <v>677</v>
      </c>
      <c r="Q248" s="3" t="s">
        <v>32</v>
      </c>
      <c r="R248" s="3" t="s">
        <v>33</v>
      </c>
      <c r="S248" s="4"/>
    </row>
    <row r="249" spans="1:19" ht="17.45">
      <c r="A249" s="3">
        <f>SUBTOTAL(103,$B$4:B249)</f>
        <v>246</v>
      </c>
      <c r="B249" s="8">
        <v>555265</v>
      </c>
      <c r="C249" s="5" t="s">
        <v>682</v>
      </c>
      <c r="D249" s="4" t="s">
        <v>35</v>
      </c>
      <c r="E249" s="4" t="s">
        <v>665</v>
      </c>
      <c r="F249" s="30">
        <v>45862</v>
      </c>
      <c r="G249" s="19" t="s">
        <v>26</v>
      </c>
      <c r="H249" s="19" t="str">
        <f t="shared" ca="1" si="3"/>
        <v>0 Years, 10 Months, 10 Days</v>
      </c>
      <c r="I249" s="4" t="s">
        <v>683</v>
      </c>
      <c r="J249" s="4" t="s">
        <v>28</v>
      </c>
      <c r="K249" s="6">
        <v>1626062587</v>
      </c>
      <c r="L249" s="6" t="s">
        <v>42</v>
      </c>
      <c r="M249" s="9">
        <v>532093</v>
      </c>
      <c r="N249" s="4" t="s">
        <v>684</v>
      </c>
      <c r="O249" s="4" t="s">
        <v>61</v>
      </c>
      <c r="P249" s="4" t="s">
        <v>685</v>
      </c>
      <c r="Q249" s="3" t="s">
        <v>32</v>
      </c>
      <c r="R249" s="3" t="s">
        <v>33</v>
      </c>
      <c r="S249" s="4"/>
    </row>
    <row r="250" spans="1:19" ht="17.45">
      <c r="A250" s="3">
        <f>SUBTOTAL(103,$B$4:B250)</f>
        <v>247</v>
      </c>
      <c r="B250" s="8">
        <v>548121</v>
      </c>
      <c r="C250" s="5" t="s">
        <v>686</v>
      </c>
      <c r="D250" s="4" t="s">
        <v>48</v>
      </c>
      <c r="E250" s="4" t="s">
        <v>665</v>
      </c>
      <c r="F250" s="30">
        <v>45599</v>
      </c>
      <c r="G250" s="19" t="s">
        <v>282</v>
      </c>
      <c r="H250" s="19" t="str">
        <f t="shared" ca="1" si="3"/>
        <v>1 Years, 7 Months, 0 Days</v>
      </c>
      <c r="I250" s="4" t="s">
        <v>687</v>
      </c>
      <c r="J250" s="4" t="s">
        <v>284</v>
      </c>
      <c r="K250" s="6">
        <v>1875379937</v>
      </c>
      <c r="L250" s="6" t="s">
        <v>42</v>
      </c>
      <c r="M250" s="9">
        <v>533137</v>
      </c>
      <c r="N250" s="4" t="s">
        <v>285</v>
      </c>
      <c r="O250" s="4" t="s">
        <v>286</v>
      </c>
      <c r="P250" s="4" t="s">
        <v>287</v>
      </c>
      <c r="Q250" s="3" t="s">
        <v>32</v>
      </c>
      <c r="R250" s="3" t="s">
        <v>33</v>
      </c>
      <c r="S250" s="4"/>
    </row>
    <row r="251" spans="1:19" ht="17.45">
      <c r="A251" s="3">
        <f>SUBTOTAL(103,$B$4:B251)</f>
        <v>248</v>
      </c>
      <c r="B251" s="8">
        <v>553966</v>
      </c>
      <c r="C251" s="5" t="s">
        <v>688</v>
      </c>
      <c r="D251" s="4" t="s">
        <v>35</v>
      </c>
      <c r="E251" s="4" t="s">
        <v>665</v>
      </c>
      <c r="F251" s="30">
        <v>45824</v>
      </c>
      <c r="G251" s="19" t="s">
        <v>26</v>
      </c>
      <c r="H251" s="19" t="str">
        <f t="shared" ca="1" si="3"/>
        <v>0 Years, 11 Months, 18 Days</v>
      </c>
      <c r="I251" s="4" t="s">
        <v>689</v>
      </c>
      <c r="J251" s="4" t="s">
        <v>28</v>
      </c>
      <c r="K251" s="6">
        <v>1517167493</v>
      </c>
      <c r="L251" s="6" t="s">
        <v>42</v>
      </c>
      <c r="M251" s="9">
        <v>554485</v>
      </c>
      <c r="N251" s="4" t="s">
        <v>690</v>
      </c>
      <c r="O251" s="4" t="s">
        <v>30</v>
      </c>
      <c r="P251" s="4" t="s">
        <v>691</v>
      </c>
      <c r="Q251" s="3" t="s">
        <v>32</v>
      </c>
      <c r="R251" s="3" t="s">
        <v>33</v>
      </c>
      <c r="S251" s="4"/>
    </row>
    <row r="252" spans="1:19" ht="17.45">
      <c r="A252" s="3">
        <f>SUBTOTAL(103,$B$4:B252)</f>
        <v>249</v>
      </c>
      <c r="B252" s="8">
        <v>558979</v>
      </c>
      <c r="C252" s="5" t="s">
        <v>692</v>
      </c>
      <c r="D252" s="4" t="s">
        <v>24</v>
      </c>
      <c r="E252" s="4" t="s">
        <v>665</v>
      </c>
      <c r="F252" s="30">
        <v>45966</v>
      </c>
      <c r="G252" s="19" t="s">
        <v>144</v>
      </c>
      <c r="H252" s="19" t="str">
        <f t="shared" ca="1" si="3"/>
        <v>0 Years, 6 Months, 29 Days</v>
      </c>
      <c r="I252" s="4" t="s">
        <v>693</v>
      </c>
      <c r="J252" s="4" t="s">
        <v>146</v>
      </c>
      <c r="K252" s="6">
        <v>1826501100</v>
      </c>
      <c r="L252" s="6" t="s">
        <v>42</v>
      </c>
      <c r="M252" s="9">
        <v>554485</v>
      </c>
      <c r="N252" s="4" t="s">
        <v>690</v>
      </c>
      <c r="O252" s="4" t="s">
        <v>30</v>
      </c>
      <c r="P252" s="4" t="s">
        <v>691</v>
      </c>
      <c r="Q252" s="3" t="s">
        <v>32</v>
      </c>
      <c r="R252" s="3" t="s">
        <v>33</v>
      </c>
      <c r="S252" s="4"/>
    </row>
    <row r="253" spans="1:19" ht="17.45">
      <c r="A253" s="3">
        <f>SUBTOTAL(103,$B$4:B253)</f>
        <v>250</v>
      </c>
      <c r="B253" s="8">
        <v>558043</v>
      </c>
      <c r="C253" s="5" t="s">
        <v>694</v>
      </c>
      <c r="D253" s="4" t="s">
        <v>24</v>
      </c>
      <c r="E253" s="4" t="s">
        <v>665</v>
      </c>
      <c r="F253" s="30">
        <v>45938</v>
      </c>
      <c r="G253" s="19" t="s">
        <v>152</v>
      </c>
      <c r="H253" s="19" t="str">
        <f t="shared" ca="1" si="3"/>
        <v>0 Years, 7 Months, 26 Days</v>
      </c>
      <c r="I253" s="4" t="s">
        <v>695</v>
      </c>
      <c r="J253" s="4" t="s">
        <v>154</v>
      </c>
      <c r="K253" s="6">
        <v>1675390850</v>
      </c>
      <c r="L253" s="6" t="s">
        <v>42</v>
      </c>
      <c r="M253" s="9">
        <v>554485</v>
      </c>
      <c r="N253" s="4" t="s">
        <v>690</v>
      </c>
      <c r="O253" s="4" t="s">
        <v>30</v>
      </c>
      <c r="P253" s="4" t="s">
        <v>691</v>
      </c>
      <c r="Q253" s="3" t="s">
        <v>32</v>
      </c>
      <c r="R253" s="3" t="s">
        <v>33</v>
      </c>
      <c r="S253" s="4"/>
    </row>
    <row r="254" spans="1:19" ht="17.45">
      <c r="A254" s="3">
        <f>SUBTOTAL(103,$B$4:B254)</f>
        <v>251</v>
      </c>
      <c r="B254" s="8">
        <v>561590</v>
      </c>
      <c r="C254" s="5" t="s">
        <v>696</v>
      </c>
      <c r="D254" s="4" t="s">
        <v>48</v>
      </c>
      <c r="E254" s="4" t="s">
        <v>665</v>
      </c>
      <c r="F254" s="30">
        <v>46042</v>
      </c>
      <c r="G254" s="19" t="s">
        <v>471</v>
      </c>
      <c r="H254" s="19" t="str">
        <f t="shared" ca="1" si="3"/>
        <v>0 Years, 4 Months, 14 Days</v>
      </c>
      <c r="I254" s="4" t="s">
        <v>697</v>
      </c>
      <c r="J254" s="4" t="s">
        <v>473</v>
      </c>
      <c r="K254" s="6" t="s">
        <v>698</v>
      </c>
      <c r="L254" s="6"/>
      <c r="M254" s="9">
        <v>556886</v>
      </c>
      <c r="N254" s="4" t="s">
        <v>593</v>
      </c>
      <c r="O254" s="4" t="s">
        <v>129</v>
      </c>
      <c r="P254" s="4" t="s">
        <v>594</v>
      </c>
      <c r="Q254" s="3" t="s">
        <v>32</v>
      </c>
      <c r="R254" s="3" t="s">
        <v>33</v>
      </c>
      <c r="S254" s="4"/>
    </row>
    <row r="255" spans="1:19" ht="17.45">
      <c r="A255" s="3">
        <f>SUBTOTAL(103,$B$4:B255)</f>
        <v>252</v>
      </c>
      <c r="B255" s="8">
        <v>532093</v>
      </c>
      <c r="C255" s="5" t="s">
        <v>684</v>
      </c>
      <c r="D255" s="4" t="s">
        <v>61</v>
      </c>
      <c r="E255" s="4" t="s">
        <v>665</v>
      </c>
      <c r="F255" s="30">
        <v>44879</v>
      </c>
      <c r="G255" s="19" t="s">
        <v>26</v>
      </c>
      <c r="H255" s="19" t="str">
        <f t="shared" ca="1" si="3"/>
        <v>3 Years, 6 Months, 20 Days</v>
      </c>
      <c r="I255" s="4" t="s">
        <v>685</v>
      </c>
      <c r="J255" s="4" t="s">
        <v>28</v>
      </c>
      <c r="K255" s="6">
        <v>1680552567</v>
      </c>
      <c r="L255" s="6">
        <v>1324762627</v>
      </c>
      <c r="M255" s="9">
        <v>565007</v>
      </c>
      <c r="N255" s="4" t="s">
        <v>699</v>
      </c>
      <c r="O255" s="4" t="s">
        <v>129</v>
      </c>
      <c r="P255" s="4" t="s">
        <v>700</v>
      </c>
      <c r="Q255" s="3" t="s">
        <v>32</v>
      </c>
      <c r="R255" s="3" t="s">
        <v>33</v>
      </c>
      <c r="S255" s="4" t="s">
        <v>701</v>
      </c>
    </row>
    <row r="256" spans="1:19" ht="17.45">
      <c r="A256" s="3">
        <f>SUBTOTAL(103,$B$4:B256)</f>
        <v>253</v>
      </c>
      <c r="B256" s="8">
        <v>554485</v>
      </c>
      <c r="C256" s="5" t="s">
        <v>690</v>
      </c>
      <c r="D256" s="4" t="s">
        <v>30</v>
      </c>
      <c r="E256" s="4" t="s">
        <v>665</v>
      </c>
      <c r="F256" s="30">
        <v>45839</v>
      </c>
      <c r="G256" s="19" t="s">
        <v>26</v>
      </c>
      <c r="H256" s="19" t="str">
        <f t="shared" ca="1" si="3"/>
        <v>0 Years, 11 Months, 2 Days</v>
      </c>
      <c r="I256" s="4" t="s">
        <v>691</v>
      </c>
      <c r="J256" s="4" t="s">
        <v>28</v>
      </c>
      <c r="K256" s="6">
        <v>1723879426</v>
      </c>
      <c r="L256" s="6" t="s">
        <v>42</v>
      </c>
      <c r="M256" s="9">
        <v>565007</v>
      </c>
      <c r="N256" s="4" t="s">
        <v>699</v>
      </c>
      <c r="O256" s="4" t="s">
        <v>129</v>
      </c>
      <c r="P256" s="4" t="s">
        <v>700</v>
      </c>
      <c r="Q256" s="3" t="s">
        <v>32</v>
      </c>
      <c r="R256" s="3" t="s">
        <v>33</v>
      </c>
      <c r="S256" s="4" t="s">
        <v>702</v>
      </c>
    </row>
    <row r="257" spans="1:19" ht="17.45">
      <c r="A257" s="3">
        <f>SUBTOTAL(103,$B$4:B257)</f>
        <v>254</v>
      </c>
      <c r="B257" s="8">
        <v>1324</v>
      </c>
      <c r="C257" s="5" t="s">
        <v>567</v>
      </c>
      <c r="D257" s="4" t="s">
        <v>30</v>
      </c>
      <c r="E257" s="4" t="s">
        <v>665</v>
      </c>
      <c r="F257" s="30">
        <v>40524</v>
      </c>
      <c r="G257" s="19" t="s">
        <v>26</v>
      </c>
      <c r="H257" s="19" t="str">
        <f t="shared" ca="1" si="3"/>
        <v>15 Years, 5 Months, 22 Days</v>
      </c>
      <c r="I257" s="4" t="s">
        <v>568</v>
      </c>
      <c r="J257" s="4" t="s">
        <v>28</v>
      </c>
      <c r="K257" s="6">
        <v>1755516457</v>
      </c>
      <c r="L257" s="6">
        <v>1755516457</v>
      </c>
      <c r="M257" s="9">
        <v>565007</v>
      </c>
      <c r="N257" s="4" t="s">
        <v>699</v>
      </c>
      <c r="O257" s="4" t="s">
        <v>129</v>
      </c>
      <c r="P257" s="4" t="s">
        <v>700</v>
      </c>
      <c r="Q257" s="3" t="s">
        <v>32</v>
      </c>
      <c r="R257" s="3" t="s">
        <v>124</v>
      </c>
      <c r="S257" s="4" t="s">
        <v>703</v>
      </c>
    </row>
    <row r="258" spans="1:19" ht="17.45">
      <c r="A258" s="3">
        <f>SUBTOTAL(103,$B$4:B258)</f>
        <v>255</v>
      </c>
      <c r="B258" s="8">
        <v>197104</v>
      </c>
      <c r="C258" s="5" t="s">
        <v>676</v>
      </c>
      <c r="D258" s="4" t="s">
        <v>106</v>
      </c>
      <c r="E258" s="4" t="s">
        <v>665</v>
      </c>
      <c r="F258" s="30">
        <v>42217</v>
      </c>
      <c r="G258" s="19" t="s">
        <v>26</v>
      </c>
      <c r="H258" s="19" t="str">
        <f t="shared" ca="1" si="3"/>
        <v>10 Years, 10 Months, 2 Days</v>
      </c>
      <c r="I258" s="4" t="s">
        <v>677</v>
      </c>
      <c r="J258" s="4" t="s">
        <v>28</v>
      </c>
      <c r="K258" s="6">
        <v>1755516438</v>
      </c>
      <c r="L258" s="6">
        <v>1755516438</v>
      </c>
      <c r="M258" s="9">
        <v>565007</v>
      </c>
      <c r="N258" s="4" t="s">
        <v>699</v>
      </c>
      <c r="O258" s="4" t="s">
        <v>129</v>
      </c>
      <c r="P258" s="4" t="s">
        <v>700</v>
      </c>
      <c r="Q258" s="3" t="s">
        <v>123</v>
      </c>
      <c r="R258" s="3" t="s">
        <v>124</v>
      </c>
      <c r="S258" s="4" t="s">
        <v>704</v>
      </c>
    </row>
    <row r="259" spans="1:19" ht="17.45">
      <c r="A259" s="3">
        <f>SUBTOTAL(103,$B$4:B259)</f>
        <v>256</v>
      </c>
      <c r="B259" s="8">
        <v>564858</v>
      </c>
      <c r="C259" s="5" t="s">
        <v>705</v>
      </c>
      <c r="D259" s="4" t="s">
        <v>48</v>
      </c>
      <c r="E259" s="4" t="s">
        <v>665</v>
      </c>
      <c r="F259" s="30">
        <v>46145</v>
      </c>
      <c r="G259" s="19" t="s">
        <v>26</v>
      </c>
      <c r="H259" s="19" t="str">
        <f t="shared" ca="1" si="3"/>
        <v>0 Years, 1 Months, 0 Days</v>
      </c>
      <c r="I259" s="4" t="s">
        <v>706</v>
      </c>
      <c r="J259" s="4" t="s">
        <v>28</v>
      </c>
      <c r="K259" s="6">
        <v>1746258006</v>
      </c>
      <c r="L259" s="6"/>
      <c r="M259" s="9">
        <v>197104</v>
      </c>
      <c r="N259" s="4" t="s">
        <v>676</v>
      </c>
      <c r="O259" s="4" t="s">
        <v>106</v>
      </c>
      <c r="P259" s="4" t="s">
        <v>677</v>
      </c>
      <c r="Q259" s="3" t="s">
        <v>32</v>
      </c>
      <c r="R259" s="3" t="s">
        <v>33</v>
      </c>
      <c r="S259" s="4"/>
    </row>
    <row r="260" spans="1:19" ht="17.45">
      <c r="A260" s="3">
        <f>SUBTOTAL(103,$B$4:B260)</f>
        <v>257</v>
      </c>
      <c r="B260" s="8">
        <v>565007</v>
      </c>
      <c r="C260" s="5" t="s">
        <v>699</v>
      </c>
      <c r="D260" s="4" t="s">
        <v>129</v>
      </c>
      <c r="E260" s="4" t="s">
        <v>665</v>
      </c>
      <c r="F260" s="30">
        <v>46145</v>
      </c>
      <c r="G260" s="19" t="s">
        <v>26</v>
      </c>
      <c r="H260" s="19" t="str">
        <f t="shared" ca="1" si="3"/>
        <v>0 Years, 1 Months, 0 Days</v>
      </c>
      <c r="I260" s="4" t="s">
        <v>700</v>
      </c>
      <c r="J260" s="4" t="s">
        <v>28</v>
      </c>
      <c r="K260" s="6">
        <v>1912311366</v>
      </c>
      <c r="L260" s="6"/>
      <c r="M260" s="9"/>
      <c r="N260" s="4" t="s">
        <v>175</v>
      </c>
      <c r="O260" s="4" t="s">
        <v>175</v>
      </c>
      <c r="P260" s="4" t="s">
        <v>175</v>
      </c>
      <c r="Q260" s="3" t="s">
        <v>123</v>
      </c>
      <c r="R260" s="3" t="s">
        <v>124</v>
      </c>
      <c r="S260" s="4" t="s">
        <v>707</v>
      </c>
    </row>
    <row r="261" spans="1:19" ht="17.45">
      <c r="A261" s="3">
        <f>SUBTOTAL(103,$B$4:B261)</f>
        <v>258</v>
      </c>
      <c r="B261" s="8">
        <v>203921</v>
      </c>
      <c r="C261" s="5" t="s">
        <v>708</v>
      </c>
      <c r="D261" s="4" t="s">
        <v>94</v>
      </c>
      <c r="E261" s="4" t="s">
        <v>709</v>
      </c>
      <c r="F261" s="30">
        <v>42262</v>
      </c>
      <c r="G261" s="19" t="s">
        <v>648</v>
      </c>
      <c r="H261" s="19" t="str">
        <f t="shared" ref="H261:H324" ca="1" si="4">DATEDIF(F261,TODAY(),"Y") &amp; " Years, " &amp; DATEDIF(F261,TODAY(),"YM") &amp; " Months, " &amp; DATEDIF(F261,TODAY(),"MD") &amp; " Days"</f>
        <v>10 Years, 8 Months, 19 Days</v>
      </c>
      <c r="I261" s="4" t="s">
        <v>710</v>
      </c>
      <c r="J261" s="4" t="s">
        <v>58</v>
      </c>
      <c r="K261" s="6">
        <v>1755516415</v>
      </c>
      <c r="L261" s="6">
        <v>1755516415</v>
      </c>
      <c r="M261" s="17">
        <v>58153</v>
      </c>
      <c r="N261" s="5" t="s">
        <v>650</v>
      </c>
      <c r="O261" s="4" t="s">
        <v>129</v>
      </c>
      <c r="P261" s="29" t="s">
        <v>651</v>
      </c>
      <c r="Q261" s="3" t="s">
        <v>123</v>
      </c>
      <c r="R261" s="3" t="s">
        <v>124</v>
      </c>
      <c r="S261" s="4" t="s">
        <v>711</v>
      </c>
    </row>
    <row r="262" spans="1:19" ht="17.45">
      <c r="A262" s="3">
        <f>SUBTOTAL(103,$B$4:B262)</f>
        <v>259</v>
      </c>
      <c r="B262" s="8">
        <v>525144</v>
      </c>
      <c r="C262" s="5" t="s">
        <v>712</v>
      </c>
      <c r="D262" s="4" t="s">
        <v>61</v>
      </c>
      <c r="E262" s="4" t="s">
        <v>709</v>
      </c>
      <c r="F262" s="30">
        <v>44574</v>
      </c>
      <c r="G262" s="19" t="s">
        <v>648</v>
      </c>
      <c r="H262" s="19" t="str">
        <f t="shared" ca="1" si="4"/>
        <v>4 Years, 4 Months, 21 Days</v>
      </c>
      <c r="I262" s="4" t="s">
        <v>713</v>
      </c>
      <c r="J262" s="4" t="s">
        <v>28</v>
      </c>
      <c r="K262" s="6">
        <v>1711583179</v>
      </c>
      <c r="L262" s="6">
        <v>1755694426</v>
      </c>
      <c r="M262" s="9">
        <v>203921</v>
      </c>
      <c r="N262" s="4" t="s">
        <v>708</v>
      </c>
      <c r="O262" s="4" t="s">
        <v>94</v>
      </c>
      <c r="P262" s="4" t="s">
        <v>710</v>
      </c>
      <c r="Q262" s="3" t="s">
        <v>32</v>
      </c>
      <c r="R262" s="3" t="s">
        <v>124</v>
      </c>
      <c r="S262" s="4"/>
    </row>
    <row r="263" spans="1:19" ht="17.45">
      <c r="A263" s="3">
        <f>SUBTOTAL(103,$B$4:B263)</f>
        <v>260</v>
      </c>
      <c r="B263" s="8">
        <v>525907</v>
      </c>
      <c r="C263" s="5" t="s">
        <v>714</v>
      </c>
      <c r="D263" s="4" t="s">
        <v>24</v>
      </c>
      <c r="E263" s="4" t="s">
        <v>709</v>
      </c>
      <c r="F263" s="30">
        <v>44621</v>
      </c>
      <c r="G263" s="19" t="s">
        <v>648</v>
      </c>
      <c r="H263" s="19" t="str">
        <f t="shared" ca="1" si="4"/>
        <v>4 Years, 3 Months, 2 Days</v>
      </c>
      <c r="I263" s="4" t="s">
        <v>715</v>
      </c>
      <c r="J263" s="4" t="s">
        <v>28</v>
      </c>
      <c r="K263" s="6">
        <v>1713020543</v>
      </c>
      <c r="L263" s="6">
        <v>1713020543</v>
      </c>
      <c r="M263" s="9">
        <v>203921</v>
      </c>
      <c r="N263" s="4" t="s">
        <v>708</v>
      </c>
      <c r="O263" s="4" t="s">
        <v>94</v>
      </c>
      <c r="P263" s="4" t="s">
        <v>710</v>
      </c>
      <c r="Q263" s="3" t="s">
        <v>32</v>
      </c>
      <c r="R263" s="3" t="s">
        <v>33</v>
      </c>
      <c r="S263" s="4"/>
    </row>
    <row r="264" spans="1:19" ht="17.45">
      <c r="A264" s="3">
        <f>SUBTOTAL(103,$B$4:B264)</f>
        <v>261</v>
      </c>
      <c r="B264" s="8">
        <v>540920</v>
      </c>
      <c r="C264" s="5" t="s">
        <v>716</v>
      </c>
      <c r="D264" s="4" t="s">
        <v>48</v>
      </c>
      <c r="E264" s="4" t="s">
        <v>709</v>
      </c>
      <c r="F264" s="30">
        <v>45305</v>
      </c>
      <c r="G264" s="19" t="s">
        <v>533</v>
      </c>
      <c r="H264" s="19" t="str">
        <f t="shared" ca="1" si="4"/>
        <v>2 Years, 4 Months, 20 Days</v>
      </c>
      <c r="I264" s="4" t="s">
        <v>717</v>
      </c>
      <c r="J264" s="4" t="s">
        <v>146</v>
      </c>
      <c r="K264" s="6">
        <v>1795691573</v>
      </c>
      <c r="L264" s="6">
        <v>1329645872</v>
      </c>
      <c r="M264" s="9">
        <v>203921</v>
      </c>
      <c r="N264" s="4" t="s">
        <v>708</v>
      </c>
      <c r="O264" s="4" t="s">
        <v>94</v>
      </c>
      <c r="P264" s="4" t="s">
        <v>710</v>
      </c>
      <c r="Q264" s="3" t="s">
        <v>32</v>
      </c>
      <c r="R264" s="3" t="s">
        <v>33</v>
      </c>
      <c r="S264" s="4"/>
    </row>
    <row r="265" spans="1:19" ht="17.45">
      <c r="A265" s="3">
        <f>SUBTOTAL(103,$B$4:B265)</f>
        <v>262</v>
      </c>
      <c r="B265" s="8">
        <v>541021</v>
      </c>
      <c r="C265" s="5" t="s">
        <v>718</v>
      </c>
      <c r="D265" s="4" t="s">
        <v>48</v>
      </c>
      <c r="E265" s="4" t="s">
        <v>709</v>
      </c>
      <c r="F265" s="30">
        <v>45312</v>
      </c>
      <c r="G265" s="19" t="s">
        <v>533</v>
      </c>
      <c r="H265" s="19" t="str">
        <f t="shared" ca="1" si="4"/>
        <v>2 Years, 4 Months, 13 Days</v>
      </c>
      <c r="I265" s="4" t="s">
        <v>719</v>
      </c>
      <c r="J265" s="4" t="s">
        <v>146</v>
      </c>
      <c r="K265" s="6">
        <v>1840601616</v>
      </c>
      <c r="L265" s="6">
        <v>1329645893</v>
      </c>
      <c r="M265" s="9">
        <v>203921</v>
      </c>
      <c r="N265" s="4" t="s">
        <v>708</v>
      </c>
      <c r="O265" s="4" t="s">
        <v>94</v>
      </c>
      <c r="P265" s="4" t="s">
        <v>710</v>
      </c>
      <c r="Q265" s="3" t="s">
        <v>32</v>
      </c>
      <c r="R265" s="3" t="s">
        <v>33</v>
      </c>
      <c r="S265" s="4"/>
    </row>
    <row r="266" spans="1:19" ht="17.45">
      <c r="A266" s="3">
        <f>SUBTOTAL(103,$B$4:B266)</f>
        <v>263</v>
      </c>
      <c r="B266" s="8">
        <v>541185</v>
      </c>
      <c r="C266" s="5" t="s">
        <v>720</v>
      </c>
      <c r="D266" s="4" t="s">
        <v>48</v>
      </c>
      <c r="E266" s="4" t="s">
        <v>709</v>
      </c>
      <c r="F266" s="30">
        <v>45323</v>
      </c>
      <c r="G266" s="19" t="s">
        <v>533</v>
      </c>
      <c r="H266" s="19" t="str">
        <f t="shared" ca="1" si="4"/>
        <v>2 Years, 4 Months, 2 Days</v>
      </c>
      <c r="I266" s="4" t="s">
        <v>721</v>
      </c>
      <c r="J266" s="4" t="s">
        <v>146</v>
      </c>
      <c r="K266" s="6">
        <v>1904420672</v>
      </c>
      <c r="L266" s="6">
        <v>1329645901</v>
      </c>
      <c r="M266" s="9">
        <v>203921</v>
      </c>
      <c r="N266" s="4" t="s">
        <v>708</v>
      </c>
      <c r="O266" s="4" t="s">
        <v>94</v>
      </c>
      <c r="P266" s="4" t="s">
        <v>710</v>
      </c>
      <c r="Q266" s="3" t="s">
        <v>32</v>
      </c>
      <c r="R266" s="3" t="s">
        <v>33</v>
      </c>
      <c r="S266" s="4"/>
    </row>
    <row r="267" spans="1:19" ht="17.45">
      <c r="A267" s="3">
        <f>SUBTOTAL(103,$B$4:B267)</f>
        <v>264</v>
      </c>
      <c r="B267" s="8">
        <v>541429</v>
      </c>
      <c r="C267" s="5" t="s">
        <v>722</v>
      </c>
      <c r="D267" s="4" t="s">
        <v>35</v>
      </c>
      <c r="E267" s="4" t="s">
        <v>709</v>
      </c>
      <c r="F267" s="30">
        <v>45330</v>
      </c>
      <c r="G267" s="19" t="s">
        <v>533</v>
      </c>
      <c r="H267" s="19" t="str">
        <f t="shared" ca="1" si="4"/>
        <v>2 Years, 3 Months, 26 Days</v>
      </c>
      <c r="I267" s="4" t="s">
        <v>723</v>
      </c>
      <c r="J267" s="4" t="s">
        <v>146</v>
      </c>
      <c r="K267" s="6">
        <v>1714669846</v>
      </c>
      <c r="L267" s="6">
        <v>1324762538</v>
      </c>
      <c r="M267" s="9">
        <v>203921</v>
      </c>
      <c r="N267" s="4" t="s">
        <v>708</v>
      </c>
      <c r="O267" s="4" t="s">
        <v>94</v>
      </c>
      <c r="P267" s="4" t="s">
        <v>710</v>
      </c>
      <c r="Q267" s="3" t="s">
        <v>32</v>
      </c>
      <c r="R267" s="3" t="s">
        <v>33</v>
      </c>
      <c r="S267" s="4"/>
    </row>
    <row r="268" spans="1:19" ht="17.45">
      <c r="A268" s="3">
        <f>SUBTOTAL(103,$B$4:B268)</f>
        <v>265</v>
      </c>
      <c r="B268" s="8">
        <v>540190</v>
      </c>
      <c r="C268" s="5" t="s">
        <v>724</v>
      </c>
      <c r="D268" s="4" t="s">
        <v>24</v>
      </c>
      <c r="E268" s="4" t="s">
        <v>709</v>
      </c>
      <c r="F268" s="30">
        <v>45263</v>
      </c>
      <c r="G268" s="19" t="s">
        <v>152</v>
      </c>
      <c r="H268" s="19" t="str">
        <f t="shared" ca="1" si="4"/>
        <v>2 Years, 6 Months, 0 Days</v>
      </c>
      <c r="I268" s="4" t="s">
        <v>725</v>
      </c>
      <c r="J268" s="4" t="s">
        <v>154</v>
      </c>
      <c r="K268" s="6">
        <v>1728056848</v>
      </c>
      <c r="L268" s="6">
        <v>1329645837</v>
      </c>
      <c r="M268" s="9">
        <v>203921</v>
      </c>
      <c r="N268" s="4" t="s">
        <v>708</v>
      </c>
      <c r="O268" s="4" t="s">
        <v>94</v>
      </c>
      <c r="P268" s="4" t="s">
        <v>710</v>
      </c>
      <c r="Q268" s="3" t="s">
        <v>32</v>
      </c>
      <c r="R268" s="3" t="s">
        <v>33</v>
      </c>
      <c r="S268" s="4"/>
    </row>
    <row r="269" spans="1:19" ht="17.45">
      <c r="A269" s="3">
        <f>SUBTOTAL(103,$B$4:B269)</f>
        <v>266</v>
      </c>
      <c r="B269" s="8">
        <v>559312</v>
      </c>
      <c r="C269" s="5" t="s">
        <v>726</v>
      </c>
      <c r="D269" s="4" t="s">
        <v>24</v>
      </c>
      <c r="E269" s="4" t="s">
        <v>709</v>
      </c>
      <c r="F269" s="30">
        <v>45970</v>
      </c>
      <c r="G269" s="19" t="s">
        <v>156</v>
      </c>
      <c r="H269" s="19" t="str">
        <f t="shared" ca="1" si="4"/>
        <v>0 Years, 6 Months, 25 Days</v>
      </c>
      <c r="I269" s="4" t="s">
        <v>727</v>
      </c>
      <c r="J269" s="4" t="s">
        <v>158</v>
      </c>
      <c r="K269" s="6">
        <v>1675700675</v>
      </c>
      <c r="L269" s="6" t="s">
        <v>42</v>
      </c>
      <c r="M269" s="9">
        <v>203921</v>
      </c>
      <c r="N269" s="4" t="s">
        <v>708</v>
      </c>
      <c r="O269" s="4" t="s">
        <v>94</v>
      </c>
      <c r="P269" s="4" t="s">
        <v>710</v>
      </c>
      <c r="Q269" s="3" t="s">
        <v>32</v>
      </c>
      <c r="R269" s="3" t="s">
        <v>33</v>
      </c>
      <c r="S269" s="4"/>
    </row>
    <row r="270" spans="1:19" ht="17.45">
      <c r="A270" s="3">
        <f>SUBTOTAL(103,$B$4:B270)</f>
        <v>267</v>
      </c>
      <c r="B270" s="8">
        <v>75079</v>
      </c>
      <c r="C270" s="5" t="s">
        <v>112</v>
      </c>
      <c r="D270" s="4" t="s">
        <v>35</v>
      </c>
      <c r="E270" s="4" t="s">
        <v>709</v>
      </c>
      <c r="F270" s="30">
        <v>41010</v>
      </c>
      <c r="G270" s="19" t="s">
        <v>648</v>
      </c>
      <c r="H270" s="19" t="str">
        <f t="shared" ca="1" si="4"/>
        <v>14 Years, 1 Months, 23 Days</v>
      </c>
      <c r="I270" s="4" t="s">
        <v>728</v>
      </c>
      <c r="J270" s="4" t="s">
        <v>28</v>
      </c>
      <c r="K270" s="6">
        <v>1873114499</v>
      </c>
      <c r="L270" s="6">
        <v>1313014635</v>
      </c>
      <c r="M270" s="9">
        <v>525144</v>
      </c>
      <c r="N270" s="4" t="s">
        <v>712</v>
      </c>
      <c r="O270" s="4" t="s">
        <v>61</v>
      </c>
      <c r="P270" s="4" t="s">
        <v>713</v>
      </c>
      <c r="Q270" s="3" t="s">
        <v>32</v>
      </c>
      <c r="R270" s="3" t="s">
        <v>33</v>
      </c>
      <c r="S270" s="4"/>
    </row>
    <row r="271" spans="1:19" ht="17.45">
      <c r="A271" s="3">
        <f>SUBTOTAL(103,$B$4:B271)</f>
        <v>268</v>
      </c>
      <c r="B271" s="8">
        <v>525812</v>
      </c>
      <c r="C271" s="5" t="s">
        <v>729</v>
      </c>
      <c r="D271" s="4" t="s">
        <v>38</v>
      </c>
      <c r="E271" s="4" t="s">
        <v>709</v>
      </c>
      <c r="F271" s="30">
        <v>44614</v>
      </c>
      <c r="G271" s="19" t="s">
        <v>648</v>
      </c>
      <c r="H271" s="19" t="str">
        <f t="shared" ca="1" si="4"/>
        <v>4 Years, 3 Months, 12 Days</v>
      </c>
      <c r="I271" s="4" t="s">
        <v>730</v>
      </c>
      <c r="J271" s="4" t="s">
        <v>28</v>
      </c>
      <c r="K271" s="6">
        <v>1568571068</v>
      </c>
      <c r="L271" s="6">
        <v>1313014643</v>
      </c>
      <c r="M271" s="9">
        <v>525144</v>
      </c>
      <c r="N271" s="4" t="s">
        <v>712</v>
      </c>
      <c r="O271" s="4" t="s">
        <v>61</v>
      </c>
      <c r="P271" s="4" t="s">
        <v>713</v>
      </c>
      <c r="Q271" s="3" t="s">
        <v>32</v>
      </c>
      <c r="R271" s="3" t="s">
        <v>33</v>
      </c>
      <c r="S271" s="4"/>
    </row>
    <row r="272" spans="1:19" ht="17.45">
      <c r="A272" s="3">
        <f>SUBTOTAL(103,$B$4:B272)</f>
        <v>269</v>
      </c>
      <c r="B272" s="8">
        <v>529523</v>
      </c>
      <c r="C272" s="5" t="s">
        <v>731</v>
      </c>
      <c r="D272" s="4" t="s">
        <v>48</v>
      </c>
      <c r="E272" s="4" t="s">
        <v>709</v>
      </c>
      <c r="F272" s="30">
        <v>44724</v>
      </c>
      <c r="G272" s="19" t="s">
        <v>648</v>
      </c>
      <c r="H272" s="19" t="str">
        <f t="shared" ca="1" si="4"/>
        <v>3 Years, 11 Months, 22 Days</v>
      </c>
      <c r="I272" s="4" t="s">
        <v>732</v>
      </c>
      <c r="J272" s="4" t="s">
        <v>28</v>
      </c>
      <c r="K272" s="6">
        <v>1303203157</v>
      </c>
      <c r="L272" s="6">
        <v>1324762714</v>
      </c>
      <c r="M272" s="9">
        <v>525144</v>
      </c>
      <c r="N272" s="4" t="s">
        <v>712</v>
      </c>
      <c r="O272" s="4" t="s">
        <v>61</v>
      </c>
      <c r="P272" s="4" t="s">
        <v>713</v>
      </c>
      <c r="Q272" s="3" t="s">
        <v>32</v>
      </c>
      <c r="R272" s="3" t="s">
        <v>33</v>
      </c>
      <c r="S272" s="4"/>
    </row>
    <row r="273" spans="1:19" ht="17.45">
      <c r="A273" s="3">
        <f>SUBTOTAL(103,$B$4:B273)</f>
        <v>270</v>
      </c>
      <c r="B273" s="8">
        <v>563278</v>
      </c>
      <c r="C273" s="5" t="s">
        <v>733</v>
      </c>
      <c r="D273" s="4" t="s">
        <v>38</v>
      </c>
      <c r="E273" s="4" t="s">
        <v>709</v>
      </c>
      <c r="F273" s="30">
        <v>46091</v>
      </c>
      <c r="G273" s="19" t="s">
        <v>648</v>
      </c>
      <c r="H273" s="19" t="str">
        <f t="shared" ca="1" si="4"/>
        <v>0 Years, 2 Months, 24 Days</v>
      </c>
      <c r="I273" s="4" t="s">
        <v>734</v>
      </c>
      <c r="J273" s="4" t="s">
        <v>28</v>
      </c>
      <c r="K273" s="6" t="s">
        <v>735</v>
      </c>
      <c r="L273" s="6"/>
      <c r="M273" s="9">
        <v>525144</v>
      </c>
      <c r="N273" s="4" t="s">
        <v>712</v>
      </c>
      <c r="O273" s="4" t="s">
        <v>61</v>
      </c>
      <c r="P273" s="4" t="s">
        <v>713</v>
      </c>
      <c r="Q273" s="3" t="s">
        <v>32</v>
      </c>
      <c r="R273" s="3" t="s">
        <v>33</v>
      </c>
      <c r="S273" s="4"/>
    </row>
    <row r="274" spans="1:19" ht="17.45">
      <c r="A274" s="3">
        <f>SUBTOTAL(103,$B$4:B274)</f>
        <v>271</v>
      </c>
      <c r="B274" s="8">
        <v>563340</v>
      </c>
      <c r="C274" s="5" t="s">
        <v>736</v>
      </c>
      <c r="D274" s="4" t="s">
        <v>38</v>
      </c>
      <c r="E274" s="4" t="s">
        <v>709</v>
      </c>
      <c r="F274" s="30">
        <v>46093</v>
      </c>
      <c r="G274" s="19" t="s">
        <v>648</v>
      </c>
      <c r="H274" s="19" t="str">
        <f t="shared" ca="1" si="4"/>
        <v>0 Years, 2 Months, 22 Days</v>
      </c>
      <c r="I274" s="4" t="s">
        <v>737</v>
      </c>
      <c r="J274" s="4" t="s">
        <v>28</v>
      </c>
      <c r="K274" s="6" t="s">
        <v>738</v>
      </c>
      <c r="L274" s="6"/>
      <c r="M274" s="9">
        <v>525144</v>
      </c>
      <c r="N274" s="4" t="s">
        <v>712</v>
      </c>
      <c r="O274" s="4" t="s">
        <v>61</v>
      </c>
      <c r="P274" s="4" t="s">
        <v>713</v>
      </c>
      <c r="Q274" s="3" t="s">
        <v>32</v>
      </c>
      <c r="R274" s="3" t="s">
        <v>33</v>
      </c>
      <c r="S274" s="4"/>
    </row>
    <row r="275" spans="1:19" ht="17.45">
      <c r="A275" s="3">
        <f>SUBTOTAL(103,$B$4:B275)</f>
        <v>272</v>
      </c>
      <c r="B275" s="8">
        <v>502601</v>
      </c>
      <c r="C275" s="5" t="s">
        <v>739</v>
      </c>
      <c r="D275" s="4" t="s">
        <v>48</v>
      </c>
      <c r="E275" s="4" t="s">
        <v>709</v>
      </c>
      <c r="F275" s="30">
        <v>44142</v>
      </c>
      <c r="G275" s="19" t="s">
        <v>648</v>
      </c>
      <c r="H275" s="19" t="str">
        <f t="shared" ca="1" si="4"/>
        <v>5 Years, 6 Months, 27 Days</v>
      </c>
      <c r="I275" s="4" t="s">
        <v>740</v>
      </c>
      <c r="J275" s="4" t="s">
        <v>28</v>
      </c>
      <c r="K275" s="6">
        <v>1703331363</v>
      </c>
      <c r="L275" s="6">
        <v>1755516482</v>
      </c>
      <c r="M275" s="9">
        <v>525907</v>
      </c>
      <c r="N275" s="4" t="s">
        <v>714</v>
      </c>
      <c r="O275" s="4" t="s">
        <v>24</v>
      </c>
      <c r="P275" s="4" t="s">
        <v>715</v>
      </c>
      <c r="Q275" s="3" t="s">
        <v>32</v>
      </c>
      <c r="R275" s="3" t="s">
        <v>33</v>
      </c>
      <c r="S275" s="4"/>
    </row>
    <row r="276" spans="1:19" ht="17.45">
      <c r="A276" s="3">
        <f>SUBTOTAL(103,$B$4:B276)</f>
        <v>273</v>
      </c>
      <c r="B276" s="8">
        <v>525226</v>
      </c>
      <c r="C276" s="5" t="s">
        <v>741</v>
      </c>
      <c r="D276" s="4" t="s">
        <v>35</v>
      </c>
      <c r="E276" s="4" t="s">
        <v>709</v>
      </c>
      <c r="F276" s="30">
        <v>44560</v>
      </c>
      <c r="G276" s="19" t="s">
        <v>648</v>
      </c>
      <c r="H276" s="19" t="str">
        <f t="shared" ca="1" si="4"/>
        <v>4 Years, 5 Months, 4 Days</v>
      </c>
      <c r="I276" s="4" t="s">
        <v>742</v>
      </c>
      <c r="J276" s="4" t="s">
        <v>28</v>
      </c>
      <c r="K276" s="6">
        <v>1736645565</v>
      </c>
      <c r="L276" s="6">
        <v>1755694465</v>
      </c>
      <c r="M276" s="9">
        <v>525907</v>
      </c>
      <c r="N276" s="4" t="s">
        <v>714</v>
      </c>
      <c r="O276" s="4" t="s">
        <v>24</v>
      </c>
      <c r="P276" s="4" t="s">
        <v>715</v>
      </c>
      <c r="Q276" s="3" t="s">
        <v>32</v>
      </c>
      <c r="R276" s="3" t="s">
        <v>33</v>
      </c>
      <c r="S276" s="4"/>
    </row>
    <row r="277" spans="1:19" ht="17.45">
      <c r="A277" s="3">
        <f>SUBTOTAL(103,$B$4:B277)</f>
        <v>274</v>
      </c>
      <c r="B277" s="8">
        <v>525909</v>
      </c>
      <c r="C277" s="5" t="s">
        <v>743</v>
      </c>
      <c r="D277" s="4" t="s">
        <v>38</v>
      </c>
      <c r="E277" s="4" t="s">
        <v>709</v>
      </c>
      <c r="F277" s="30">
        <v>44621</v>
      </c>
      <c r="G277" s="19" t="s">
        <v>648</v>
      </c>
      <c r="H277" s="19" t="str">
        <f t="shared" ca="1" si="4"/>
        <v>4 Years, 3 Months, 2 Days</v>
      </c>
      <c r="I277" s="4" t="s">
        <v>744</v>
      </c>
      <c r="J277" s="4" t="s">
        <v>28</v>
      </c>
      <c r="K277" s="6">
        <v>1716206606</v>
      </c>
      <c r="L277" s="6">
        <v>1787689669</v>
      </c>
      <c r="M277" s="9">
        <v>525907</v>
      </c>
      <c r="N277" s="4" t="s">
        <v>714</v>
      </c>
      <c r="O277" s="4" t="s">
        <v>24</v>
      </c>
      <c r="P277" s="4" t="s">
        <v>715</v>
      </c>
      <c r="Q277" s="3" t="s">
        <v>32</v>
      </c>
      <c r="R277" s="3" t="s">
        <v>33</v>
      </c>
      <c r="S277" s="4"/>
    </row>
    <row r="278" spans="1:19" ht="17.45">
      <c r="A278" s="3">
        <f>SUBTOTAL(103,$B$4:B278)</f>
        <v>275</v>
      </c>
      <c r="B278" s="8">
        <v>533136</v>
      </c>
      <c r="C278" s="5" t="s">
        <v>745</v>
      </c>
      <c r="D278" s="4" t="s">
        <v>38</v>
      </c>
      <c r="E278" s="4" t="s">
        <v>709</v>
      </c>
      <c r="F278" s="30">
        <v>44881</v>
      </c>
      <c r="G278" s="19" t="s">
        <v>648</v>
      </c>
      <c r="H278" s="19" t="str">
        <f t="shared" ca="1" si="4"/>
        <v>3 Years, 6 Months, 18 Days</v>
      </c>
      <c r="I278" s="4" t="s">
        <v>746</v>
      </c>
      <c r="J278" s="4" t="s">
        <v>28</v>
      </c>
      <c r="K278" s="6">
        <v>1776505228</v>
      </c>
      <c r="L278" s="6">
        <v>1313014647</v>
      </c>
      <c r="M278" s="9">
        <v>525907</v>
      </c>
      <c r="N278" s="4" t="s">
        <v>714</v>
      </c>
      <c r="O278" s="4" t="s">
        <v>24</v>
      </c>
      <c r="P278" s="4" t="s">
        <v>715</v>
      </c>
      <c r="Q278" s="3" t="s">
        <v>32</v>
      </c>
      <c r="R278" s="3" t="s">
        <v>33</v>
      </c>
      <c r="S278" s="4"/>
    </row>
    <row r="279" spans="1:19" ht="17.45">
      <c r="A279" s="3">
        <f>SUBTOTAL(103,$B$4:B279)</f>
        <v>276</v>
      </c>
      <c r="B279" s="8">
        <v>563544</v>
      </c>
      <c r="C279" s="5" t="s">
        <v>747</v>
      </c>
      <c r="D279" s="4" t="s">
        <v>250</v>
      </c>
      <c r="E279" s="4" t="s">
        <v>709</v>
      </c>
      <c r="F279" s="30">
        <v>46113</v>
      </c>
      <c r="G279" s="19" t="s">
        <v>156</v>
      </c>
      <c r="H279" s="19" t="str">
        <f t="shared" ca="1" si="4"/>
        <v>0 Years, 2 Months, 2 Days</v>
      </c>
      <c r="I279" s="4" t="s">
        <v>748</v>
      </c>
      <c r="J279" s="4" t="s">
        <v>158</v>
      </c>
      <c r="K279" s="6" t="s">
        <v>749</v>
      </c>
      <c r="L279" s="6"/>
      <c r="M279" s="9">
        <v>529668</v>
      </c>
      <c r="N279" s="4" t="s">
        <v>228</v>
      </c>
      <c r="O279" s="4" t="s">
        <v>211</v>
      </c>
      <c r="P279" s="4" t="s">
        <v>229</v>
      </c>
      <c r="Q279" s="3" t="s">
        <v>32</v>
      </c>
      <c r="R279" s="3" t="s">
        <v>33</v>
      </c>
      <c r="S279" s="4"/>
    </row>
    <row r="280" spans="1:19" ht="17.45">
      <c r="A280" s="3">
        <f>SUBTOTAL(103,$B$4:B280)</f>
        <v>277</v>
      </c>
      <c r="B280" s="8">
        <v>1188</v>
      </c>
      <c r="C280" s="5" t="s">
        <v>750</v>
      </c>
      <c r="D280" s="4" t="s">
        <v>61</v>
      </c>
      <c r="E280" s="4" t="s">
        <v>751</v>
      </c>
      <c r="F280" s="30">
        <v>40275</v>
      </c>
      <c r="G280" s="19" t="s">
        <v>26</v>
      </c>
      <c r="H280" s="19" t="str">
        <f t="shared" ca="1" si="4"/>
        <v>16 Years, 1 Months, 27 Days</v>
      </c>
      <c r="I280" s="4" t="s">
        <v>752</v>
      </c>
      <c r="J280" s="4" t="s">
        <v>28</v>
      </c>
      <c r="K280" s="6">
        <v>1753906405</v>
      </c>
      <c r="L280" s="6">
        <v>1755516475</v>
      </c>
      <c r="M280" s="9">
        <v>517306</v>
      </c>
      <c r="N280" s="4" t="s">
        <v>753</v>
      </c>
      <c r="O280" s="4" t="s">
        <v>106</v>
      </c>
      <c r="P280" s="4" t="s">
        <v>754</v>
      </c>
      <c r="Q280" s="3" t="s">
        <v>32</v>
      </c>
      <c r="R280" s="3" t="s">
        <v>33</v>
      </c>
      <c r="S280" s="4"/>
    </row>
    <row r="281" spans="1:19" ht="17.45">
      <c r="A281" s="3">
        <f>SUBTOTAL(103,$B$4:B281)</f>
        <v>278</v>
      </c>
      <c r="B281" s="8">
        <v>1191</v>
      </c>
      <c r="C281" s="5" t="s">
        <v>755</v>
      </c>
      <c r="D281" s="4" t="s">
        <v>61</v>
      </c>
      <c r="E281" s="4" t="s">
        <v>751</v>
      </c>
      <c r="F281" s="30">
        <v>40679</v>
      </c>
      <c r="G281" s="19" t="s">
        <v>26</v>
      </c>
      <c r="H281" s="19" t="str">
        <f t="shared" ca="1" si="4"/>
        <v>15 Years, 0 Months, 18 Days</v>
      </c>
      <c r="I281" s="4" t="s">
        <v>756</v>
      </c>
      <c r="J281" s="4" t="s">
        <v>28</v>
      </c>
      <c r="K281" s="6">
        <v>1557256552</v>
      </c>
      <c r="L281" s="6">
        <v>1713020569</v>
      </c>
      <c r="M281" s="9">
        <v>517306</v>
      </c>
      <c r="N281" s="4" t="s">
        <v>753</v>
      </c>
      <c r="O281" s="4" t="s">
        <v>106</v>
      </c>
      <c r="P281" s="4" t="s">
        <v>754</v>
      </c>
      <c r="Q281" s="3" t="s">
        <v>32</v>
      </c>
      <c r="R281" s="3" t="s">
        <v>33</v>
      </c>
      <c r="S281" s="4"/>
    </row>
    <row r="282" spans="1:19" ht="17.45">
      <c r="A282" s="3">
        <f>SUBTOTAL(103,$B$4:B282)</f>
        <v>279</v>
      </c>
      <c r="B282" s="8">
        <v>33081</v>
      </c>
      <c r="C282" s="5" t="s">
        <v>757</v>
      </c>
      <c r="D282" s="4" t="s">
        <v>61</v>
      </c>
      <c r="E282" s="4" t="s">
        <v>751</v>
      </c>
      <c r="F282" s="30">
        <v>40950</v>
      </c>
      <c r="G282" s="19" t="s">
        <v>26</v>
      </c>
      <c r="H282" s="19" t="str">
        <f t="shared" ca="1" si="4"/>
        <v>14 Years, 3 Months, 23 Days</v>
      </c>
      <c r="I282" s="4" t="s">
        <v>758</v>
      </c>
      <c r="J282" s="4" t="s">
        <v>28</v>
      </c>
      <c r="K282" s="6">
        <v>1711031868</v>
      </c>
      <c r="L282" s="6">
        <v>1713020582</v>
      </c>
      <c r="M282" s="9">
        <v>517306</v>
      </c>
      <c r="N282" s="4" t="s">
        <v>753</v>
      </c>
      <c r="O282" s="4" t="s">
        <v>106</v>
      </c>
      <c r="P282" s="4" t="s">
        <v>754</v>
      </c>
      <c r="Q282" s="3" t="s">
        <v>32</v>
      </c>
      <c r="R282" s="3" t="s">
        <v>33</v>
      </c>
      <c r="S282" s="4"/>
    </row>
    <row r="283" spans="1:19" ht="17.45">
      <c r="A283" s="3">
        <f>SUBTOTAL(103,$B$4:B283)</f>
        <v>280</v>
      </c>
      <c r="B283" s="8">
        <v>178238</v>
      </c>
      <c r="C283" s="5" t="s">
        <v>759</v>
      </c>
      <c r="D283" s="4" t="s">
        <v>35</v>
      </c>
      <c r="E283" s="4" t="s">
        <v>751</v>
      </c>
      <c r="F283" s="30">
        <v>42070</v>
      </c>
      <c r="G283" s="19" t="s">
        <v>26</v>
      </c>
      <c r="H283" s="19" t="str">
        <f t="shared" ca="1" si="4"/>
        <v>11 Years, 2 Months, 27 Days</v>
      </c>
      <c r="I283" s="4" t="s">
        <v>760</v>
      </c>
      <c r="J283" s="4" t="s">
        <v>28</v>
      </c>
      <c r="K283" s="6">
        <v>1921059887</v>
      </c>
      <c r="L283" s="6">
        <v>1755630237</v>
      </c>
      <c r="M283" s="9">
        <v>517306</v>
      </c>
      <c r="N283" s="4" t="s">
        <v>753</v>
      </c>
      <c r="O283" s="4" t="s">
        <v>106</v>
      </c>
      <c r="P283" s="4" t="s">
        <v>754</v>
      </c>
      <c r="Q283" s="3" t="s">
        <v>32</v>
      </c>
      <c r="R283" s="3" t="s">
        <v>33</v>
      </c>
      <c r="S283" s="4"/>
    </row>
    <row r="284" spans="1:19" ht="17.45">
      <c r="A284" s="3">
        <f>SUBTOTAL(103,$B$4:B284)</f>
        <v>281</v>
      </c>
      <c r="B284" s="8">
        <v>178239</v>
      </c>
      <c r="C284" s="5" t="s">
        <v>761</v>
      </c>
      <c r="D284" s="4" t="s">
        <v>24</v>
      </c>
      <c r="E284" s="4" t="s">
        <v>751</v>
      </c>
      <c r="F284" s="30">
        <v>42070</v>
      </c>
      <c r="G284" s="19" t="s">
        <v>26</v>
      </c>
      <c r="H284" s="19" t="str">
        <f t="shared" ca="1" si="4"/>
        <v>11 Years, 2 Months, 27 Days</v>
      </c>
      <c r="I284" s="4" t="s">
        <v>762</v>
      </c>
      <c r="J284" s="4" t="s">
        <v>28</v>
      </c>
      <c r="K284" s="6">
        <v>1751210751</v>
      </c>
      <c r="L284" s="6">
        <v>1755630238</v>
      </c>
      <c r="M284" s="9">
        <v>517306</v>
      </c>
      <c r="N284" s="4" t="s">
        <v>753</v>
      </c>
      <c r="O284" s="4" t="s">
        <v>106</v>
      </c>
      <c r="P284" s="4" t="s">
        <v>754</v>
      </c>
      <c r="Q284" s="3" t="s">
        <v>32</v>
      </c>
      <c r="R284" s="3" t="s">
        <v>33</v>
      </c>
      <c r="S284" s="4"/>
    </row>
    <row r="285" spans="1:19" ht="17.45">
      <c r="A285" s="3">
        <f>SUBTOTAL(103,$B$4:B285)</f>
        <v>282</v>
      </c>
      <c r="B285" s="8">
        <v>282129</v>
      </c>
      <c r="C285" s="5" t="s">
        <v>763</v>
      </c>
      <c r="D285" s="4" t="s">
        <v>35</v>
      </c>
      <c r="E285" s="4" t="s">
        <v>751</v>
      </c>
      <c r="F285" s="30">
        <v>42749</v>
      </c>
      <c r="G285" s="19" t="s">
        <v>26</v>
      </c>
      <c r="H285" s="19" t="str">
        <f t="shared" ca="1" si="4"/>
        <v>9 Years, 4 Months, 20 Days</v>
      </c>
      <c r="I285" s="4" t="s">
        <v>764</v>
      </c>
      <c r="J285" s="4" t="s">
        <v>28</v>
      </c>
      <c r="K285" s="6">
        <v>1927748978</v>
      </c>
      <c r="L285" s="6">
        <v>1755630232</v>
      </c>
      <c r="M285" s="9">
        <v>517306</v>
      </c>
      <c r="N285" s="4" t="s">
        <v>753</v>
      </c>
      <c r="O285" s="4" t="s">
        <v>106</v>
      </c>
      <c r="P285" s="4" t="s">
        <v>754</v>
      </c>
      <c r="Q285" s="3" t="s">
        <v>32</v>
      </c>
      <c r="R285" s="3" t="s">
        <v>33</v>
      </c>
      <c r="S285" s="4"/>
    </row>
    <row r="286" spans="1:19" ht="17.45">
      <c r="A286" s="3">
        <f>SUBTOTAL(103,$B$4:B286)</f>
        <v>283</v>
      </c>
      <c r="B286" s="8">
        <v>377016</v>
      </c>
      <c r="C286" s="5" t="s">
        <v>765</v>
      </c>
      <c r="D286" s="4" t="s">
        <v>35</v>
      </c>
      <c r="E286" s="4" t="s">
        <v>751</v>
      </c>
      <c r="F286" s="30">
        <v>43277</v>
      </c>
      <c r="G286" s="19" t="s">
        <v>26</v>
      </c>
      <c r="H286" s="19" t="str">
        <f t="shared" ca="1" si="4"/>
        <v>7 Years, 11 Months, 8 Days</v>
      </c>
      <c r="I286" s="4" t="s">
        <v>766</v>
      </c>
      <c r="J286" s="4" t="s">
        <v>28</v>
      </c>
      <c r="K286" s="6">
        <v>1713020551</v>
      </c>
      <c r="L286" s="6">
        <v>1713020544</v>
      </c>
      <c r="M286" s="9">
        <v>517306</v>
      </c>
      <c r="N286" s="4" t="s">
        <v>753</v>
      </c>
      <c r="O286" s="4" t="s">
        <v>106</v>
      </c>
      <c r="P286" s="4" t="s">
        <v>754</v>
      </c>
      <c r="Q286" s="3" t="s">
        <v>32</v>
      </c>
      <c r="R286" s="3" t="s">
        <v>33</v>
      </c>
      <c r="S286" s="4"/>
    </row>
    <row r="287" spans="1:19" ht="17.45">
      <c r="A287" s="3">
        <f>SUBTOTAL(103,$B$4:B287)</f>
        <v>284</v>
      </c>
      <c r="B287" s="8">
        <v>382617</v>
      </c>
      <c r="C287" s="5" t="s">
        <v>767</v>
      </c>
      <c r="D287" s="4" t="s">
        <v>35</v>
      </c>
      <c r="E287" s="4" t="s">
        <v>751</v>
      </c>
      <c r="F287" s="30">
        <v>43320</v>
      </c>
      <c r="G287" s="19" t="s">
        <v>26</v>
      </c>
      <c r="H287" s="19" t="str">
        <f t="shared" ca="1" si="4"/>
        <v>7 Years, 9 Months, 26 Days</v>
      </c>
      <c r="I287" s="4" t="s">
        <v>768</v>
      </c>
      <c r="J287" s="4" t="s">
        <v>28</v>
      </c>
      <c r="K287" s="6">
        <v>1713020603</v>
      </c>
      <c r="L287" s="6">
        <v>1713020603</v>
      </c>
      <c r="M287" s="9">
        <v>517306</v>
      </c>
      <c r="N287" s="4" t="s">
        <v>753</v>
      </c>
      <c r="O287" s="4" t="s">
        <v>106</v>
      </c>
      <c r="P287" s="4" t="s">
        <v>754</v>
      </c>
      <c r="Q287" s="3" t="s">
        <v>32</v>
      </c>
      <c r="R287" s="3" t="s">
        <v>33</v>
      </c>
      <c r="S287" s="4"/>
    </row>
    <row r="288" spans="1:19" ht="17.45">
      <c r="A288" s="3">
        <f>SUBTOTAL(103,$B$4:B288)</f>
        <v>285</v>
      </c>
      <c r="B288" s="8">
        <v>429443</v>
      </c>
      <c r="C288" s="5" t="s">
        <v>769</v>
      </c>
      <c r="D288" s="4" t="s">
        <v>24</v>
      </c>
      <c r="E288" s="4" t="s">
        <v>751</v>
      </c>
      <c r="F288" s="30">
        <v>43526</v>
      </c>
      <c r="G288" s="19" t="s">
        <v>26</v>
      </c>
      <c r="H288" s="19" t="str">
        <f t="shared" ca="1" si="4"/>
        <v>7 Years, 3 Months, 1 Days</v>
      </c>
      <c r="I288" s="4" t="s">
        <v>770</v>
      </c>
      <c r="J288" s="4" t="s">
        <v>28</v>
      </c>
      <c r="K288" s="6">
        <v>1611620790</v>
      </c>
      <c r="L288" s="6">
        <v>1713020554</v>
      </c>
      <c r="M288" s="9">
        <v>517306</v>
      </c>
      <c r="N288" s="4" t="s">
        <v>753</v>
      </c>
      <c r="O288" s="4" t="s">
        <v>106</v>
      </c>
      <c r="P288" s="4" t="s">
        <v>754</v>
      </c>
      <c r="Q288" s="3" t="s">
        <v>32</v>
      </c>
      <c r="R288" s="3" t="s">
        <v>33</v>
      </c>
      <c r="S288" s="4"/>
    </row>
    <row r="289" spans="1:19" ht="17.45">
      <c r="A289" s="3">
        <f>SUBTOTAL(103,$B$4:B289)</f>
        <v>286</v>
      </c>
      <c r="B289" s="8">
        <v>430864</v>
      </c>
      <c r="C289" s="5" t="s">
        <v>771</v>
      </c>
      <c r="D289" s="4" t="s">
        <v>24</v>
      </c>
      <c r="E289" s="4" t="s">
        <v>751</v>
      </c>
      <c r="F289" s="30">
        <v>43530</v>
      </c>
      <c r="G289" s="19" t="s">
        <v>26</v>
      </c>
      <c r="H289" s="19" t="str">
        <f t="shared" ca="1" si="4"/>
        <v>7 Years, 2 Months, 28 Days</v>
      </c>
      <c r="I289" s="4" t="s">
        <v>772</v>
      </c>
      <c r="J289" s="4" t="s">
        <v>28</v>
      </c>
      <c r="K289" s="6">
        <v>1713020556</v>
      </c>
      <c r="L289" s="6">
        <v>1713020556</v>
      </c>
      <c r="M289" s="9">
        <v>517306</v>
      </c>
      <c r="N289" s="4" t="s">
        <v>753</v>
      </c>
      <c r="O289" s="4" t="s">
        <v>106</v>
      </c>
      <c r="P289" s="4" t="s">
        <v>754</v>
      </c>
      <c r="Q289" s="3" t="s">
        <v>32</v>
      </c>
      <c r="R289" s="3" t="s">
        <v>33</v>
      </c>
      <c r="S289" s="4"/>
    </row>
    <row r="290" spans="1:19" ht="17.45">
      <c r="A290" s="3">
        <f>SUBTOTAL(103,$B$4:B290)</f>
        <v>287</v>
      </c>
      <c r="B290" s="8">
        <v>458187</v>
      </c>
      <c r="C290" s="5" t="s">
        <v>773</v>
      </c>
      <c r="D290" s="4" t="s">
        <v>24</v>
      </c>
      <c r="E290" s="4" t="s">
        <v>751</v>
      </c>
      <c r="F290" s="30">
        <v>43695</v>
      </c>
      <c r="G290" s="19" t="s">
        <v>26</v>
      </c>
      <c r="H290" s="19" t="str">
        <f t="shared" ca="1" si="4"/>
        <v>6 Years, 9 Months, 16 Days</v>
      </c>
      <c r="I290" s="4" t="s">
        <v>774</v>
      </c>
      <c r="J290" s="4" t="s">
        <v>28</v>
      </c>
      <c r="K290" s="6">
        <v>1674959771</v>
      </c>
      <c r="L290" s="6">
        <v>1787689610</v>
      </c>
      <c r="M290" s="9">
        <v>517306</v>
      </c>
      <c r="N290" s="4" t="s">
        <v>753</v>
      </c>
      <c r="O290" s="4" t="s">
        <v>106</v>
      </c>
      <c r="P290" s="4" t="s">
        <v>754</v>
      </c>
      <c r="Q290" s="3" t="s">
        <v>32</v>
      </c>
      <c r="R290" s="3" t="s">
        <v>33</v>
      </c>
      <c r="S290" s="4"/>
    </row>
    <row r="291" spans="1:19" ht="17.45">
      <c r="A291" s="3">
        <f>SUBTOTAL(103,$B$4:B291)</f>
        <v>288</v>
      </c>
      <c r="B291" s="8">
        <v>458188</v>
      </c>
      <c r="C291" s="5" t="s">
        <v>775</v>
      </c>
      <c r="D291" s="4" t="s">
        <v>35</v>
      </c>
      <c r="E291" s="4" t="s">
        <v>751</v>
      </c>
      <c r="F291" s="30">
        <v>43695</v>
      </c>
      <c r="G291" s="19" t="s">
        <v>26</v>
      </c>
      <c r="H291" s="19" t="str">
        <f t="shared" ca="1" si="4"/>
        <v>6 Years, 9 Months, 16 Days</v>
      </c>
      <c r="I291" s="4" t="s">
        <v>776</v>
      </c>
      <c r="J291" s="4" t="s">
        <v>28</v>
      </c>
      <c r="K291" s="6">
        <v>1717364505</v>
      </c>
      <c r="L291" s="6">
        <v>1787689609</v>
      </c>
      <c r="M291" s="9">
        <v>517306</v>
      </c>
      <c r="N291" s="4" t="s">
        <v>753</v>
      </c>
      <c r="O291" s="4" t="s">
        <v>106</v>
      </c>
      <c r="P291" s="4" t="s">
        <v>754</v>
      </c>
      <c r="Q291" s="3" t="s">
        <v>32</v>
      </c>
      <c r="R291" s="3" t="s">
        <v>33</v>
      </c>
      <c r="S291" s="4"/>
    </row>
    <row r="292" spans="1:19" ht="17.45">
      <c r="A292" s="3">
        <f>SUBTOTAL(103,$B$4:B292)</f>
        <v>289</v>
      </c>
      <c r="B292" s="8">
        <v>458427</v>
      </c>
      <c r="C292" s="5" t="s">
        <v>777</v>
      </c>
      <c r="D292" s="4" t="s">
        <v>35</v>
      </c>
      <c r="E292" s="4" t="s">
        <v>751</v>
      </c>
      <c r="F292" s="30">
        <v>43697</v>
      </c>
      <c r="G292" s="19" t="s">
        <v>26</v>
      </c>
      <c r="H292" s="19" t="str">
        <f t="shared" ca="1" si="4"/>
        <v>6 Years, 9 Months, 14 Days</v>
      </c>
      <c r="I292" s="4" t="s">
        <v>778</v>
      </c>
      <c r="J292" s="4" t="s">
        <v>28</v>
      </c>
      <c r="K292" s="6">
        <v>1780780744</v>
      </c>
      <c r="L292" s="6">
        <v>1787689607</v>
      </c>
      <c r="M292" s="9">
        <v>517306</v>
      </c>
      <c r="N292" s="4" t="s">
        <v>753</v>
      </c>
      <c r="O292" s="4" t="s">
        <v>106</v>
      </c>
      <c r="P292" s="4" t="s">
        <v>754</v>
      </c>
      <c r="Q292" s="3" t="s">
        <v>32</v>
      </c>
      <c r="R292" s="3" t="s">
        <v>33</v>
      </c>
      <c r="S292" s="4"/>
    </row>
    <row r="293" spans="1:19" ht="17.45">
      <c r="A293" s="3">
        <f>SUBTOTAL(103,$B$4:B293)</f>
        <v>290</v>
      </c>
      <c r="B293" s="8">
        <v>470663</v>
      </c>
      <c r="C293" s="5" t="s">
        <v>763</v>
      </c>
      <c r="D293" s="4" t="s">
        <v>35</v>
      </c>
      <c r="E293" s="4" t="s">
        <v>751</v>
      </c>
      <c r="F293" s="30">
        <v>43823</v>
      </c>
      <c r="G293" s="19" t="s">
        <v>26</v>
      </c>
      <c r="H293" s="19" t="str">
        <f t="shared" ca="1" si="4"/>
        <v>6 Years, 5 Months, 10 Days</v>
      </c>
      <c r="I293" s="4" t="s">
        <v>779</v>
      </c>
      <c r="J293" s="4" t="s">
        <v>28</v>
      </c>
      <c r="K293" s="6">
        <v>1882439146</v>
      </c>
      <c r="L293" s="6">
        <v>1787689691</v>
      </c>
      <c r="M293" s="9">
        <v>517306</v>
      </c>
      <c r="N293" s="4" t="s">
        <v>753</v>
      </c>
      <c r="O293" s="4" t="s">
        <v>106</v>
      </c>
      <c r="P293" s="4" t="s">
        <v>754</v>
      </c>
      <c r="Q293" s="3" t="s">
        <v>32</v>
      </c>
      <c r="R293" s="3" t="s">
        <v>33</v>
      </c>
      <c r="S293" s="4"/>
    </row>
    <row r="294" spans="1:19" ht="17.45">
      <c r="A294" s="3">
        <f>SUBTOTAL(103,$B$4:B294)</f>
        <v>291</v>
      </c>
      <c r="B294" s="8">
        <v>524210</v>
      </c>
      <c r="C294" s="5" t="s">
        <v>780</v>
      </c>
      <c r="D294" s="4" t="s">
        <v>48</v>
      </c>
      <c r="E294" s="4" t="s">
        <v>751</v>
      </c>
      <c r="F294" s="30">
        <v>44486</v>
      </c>
      <c r="G294" s="19" t="s">
        <v>26</v>
      </c>
      <c r="H294" s="19" t="str">
        <f t="shared" ca="1" si="4"/>
        <v>4 Years, 7 Months, 17 Days</v>
      </c>
      <c r="I294" s="4" t="s">
        <v>781</v>
      </c>
      <c r="J294" s="4" t="s">
        <v>28</v>
      </c>
      <c r="K294" s="6">
        <v>1676978045</v>
      </c>
      <c r="L294" s="6" t="s">
        <v>42</v>
      </c>
      <c r="M294" s="9">
        <v>517306</v>
      </c>
      <c r="N294" s="4" t="s">
        <v>753</v>
      </c>
      <c r="O294" s="4" t="s">
        <v>106</v>
      </c>
      <c r="P294" s="4" t="s">
        <v>754</v>
      </c>
      <c r="Q294" s="3" t="s">
        <v>32</v>
      </c>
      <c r="R294" s="3" t="s">
        <v>33</v>
      </c>
      <c r="S294" s="4"/>
    </row>
    <row r="295" spans="1:19" ht="17.45">
      <c r="A295" s="3">
        <f>SUBTOTAL(103,$B$4:B295)</f>
        <v>292</v>
      </c>
      <c r="B295" s="8">
        <v>527019</v>
      </c>
      <c r="C295" s="5" t="s">
        <v>782</v>
      </c>
      <c r="D295" s="4" t="s">
        <v>35</v>
      </c>
      <c r="E295" s="4" t="s">
        <v>751</v>
      </c>
      <c r="F295" s="30">
        <v>44626</v>
      </c>
      <c r="G295" s="19" t="s">
        <v>26</v>
      </c>
      <c r="H295" s="19" t="str">
        <f t="shared" ca="1" si="4"/>
        <v>4 Years, 2 Months, 28 Days</v>
      </c>
      <c r="I295" s="4" t="s">
        <v>783</v>
      </c>
      <c r="J295" s="4" t="s">
        <v>28</v>
      </c>
      <c r="K295" s="6">
        <v>1986328756</v>
      </c>
      <c r="L295" s="6">
        <v>1713020608</v>
      </c>
      <c r="M295" s="9">
        <v>517306</v>
      </c>
      <c r="N295" s="4" t="s">
        <v>753</v>
      </c>
      <c r="O295" s="4" t="s">
        <v>106</v>
      </c>
      <c r="P295" s="4" t="s">
        <v>754</v>
      </c>
      <c r="Q295" s="3" t="s">
        <v>32</v>
      </c>
      <c r="R295" s="3" t="s">
        <v>33</v>
      </c>
      <c r="S295" s="4"/>
    </row>
    <row r="296" spans="1:19" ht="17.45">
      <c r="A296" s="3">
        <f>SUBTOTAL(103,$B$4:B296)</f>
        <v>293</v>
      </c>
      <c r="B296" s="8">
        <v>527500</v>
      </c>
      <c r="C296" s="5" t="s">
        <v>784</v>
      </c>
      <c r="D296" s="4" t="s">
        <v>35</v>
      </c>
      <c r="E296" s="4" t="s">
        <v>751</v>
      </c>
      <c r="F296" s="30">
        <v>44654</v>
      </c>
      <c r="G296" s="19" t="s">
        <v>26</v>
      </c>
      <c r="H296" s="19" t="str">
        <f t="shared" ca="1" si="4"/>
        <v>4 Years, 2 Months, 0 Days</v>
      </c>
      <c r="I296" s="4" t="s">
        <v>785</v>
      </c>
      <c r="J296" s="4" t="s">
        <v>28</v>
      </c>
      <c r="K296" s="6">
        <v>1713020631</v>
      </c>
      <c r="L296" s="6">
        <v>1713020631</v>
      </c>
      <c r="M296" s="9">
        <v>517306</v>
      </c>
      <c r="N296" s="4" t="s">
        <v>753</v>
      </c>
      <c r="O296" s="4" t="s">
        <v>106</v>
      </c>
      <c r="P296" s="4" t="s">
        <v>754</v>
      </c>
      <c r="Q296" s="3" t="s">
        <v>32</v>
      </c>
      <c r="R296" s="3" t="s">
        <v>33</v>
      </c>
      <c r="S296" s="4"/>
    </row>
    <row r="297" spans="1:19" ht="17.45">
      <c r="A297" s="3">
        <f>SUBTOTAL(103,$B$4:B297)</f>
        <v>294</v>
      </c>
      <c r="B297" s="8">
        <v>530722</v>
      </c>
      <c r="C297" s="5" t="s">
        <v>786</v>
      </c>
      <c r="D297" s="4" t="s">
        <v>48</v>
      </c>
      <c r="E297" s="4" t="s">
        <v>751</v>
      </c>
      <c r="F297" s="30">
        <v>44805</v>
      </c>
      <c r="G297" s="19" t="s">
        <v>26</v>
      </c>
      <c r="H297" s="19" t="str">
        <f t="shared" ca="1" si="4"/>
        <v>3 Years, 9 Months, 2 Days</v>
      </c>
      <c r="I297" s="4" t="s">
        <v>787</v>
      </c>
      <c r="J297" s="4" t="s">
        <v>28</v>
      </c>
      <c r="K297" s="6">
        <v>1705019842</v>
      </c>
      <c r="L297" s="6">
        <v>1324762652</v>
      </c>
      <c r="M297" s="9">
        <v>517306</v>
      </c>
      <c r="N297" s="4" t="s">
        <v>753</v>
      </c>
      <c r="O297" s="4" t="s">
        <v>106</v>
      </c>
      <c r="P297" s="4" t="s">
        <v>754</v>
      </c>
      <c r="Q297" s="3" t="s">
        <v>32</v>
      </c>
      <c r="R297" s="3" t="s">
        <v>33</v>
      </c>
      <c r="S297" s="4"/>
    </row>
    <row r="298" spans="1:19" ht="17.45">
      <c r="A298" s="3">
        <f>SUBTOTAL(103,$B$4:B298)</f>
        <v>295</v>
      </c>
      <c r="B298" s="8">
        <v>533135</v>
      </c>
      <c r="C298" s="5" t="s">
        <v>788</v>
      </c>
      <c r="D298" s="4" t="s">
        <v>48</v>
      </c>
      <c r="E298" s="4" t="s">
        <v>751</v>
      </c>
      <c r="F298" s="30">
        <v>44881</v>
      </c>
      <c r="G298" s="19" t="s">
        <v>26</v>
      </c>
      <c r="H298" s="19" t="str">
        <f t="shared" ca="1" si="4"/>
        <v>3 Years, 6 Months, 18 Days</v>
      </c>
      <c r="I298" s="4" t="s">
        <v>789</v>
      </c>
      <c r="J298" s="4" t="s">
        <v>28</v>
      </c>
      <c r="K298" s="6">
        <v>1324762626</v>
      </c>
      <c r="L298" s="6">
        <v>1324762626</v>
      </c>
      <c r="M298" s="9">
        <v>517306</v>
      </c>
      <c r="N298" s="4" t="s">
        <v>753</v>
      </c>
      <c r="O298" s="4" t="s">
        <v>106</v>
      </c>
      <c r="P298" s="4" t="s">
        <v>754</v>
      </c>
      <c r="Q298" s="3" t="s">
        <v>32</v>
      </c>
      <c r="R298" s="3" t="s">
        <v>33</v>
      </c>
      <c r="S298" s="4"/>
    </row>
    <row r="299" spans="1:19" ht="17.45">
      <c r="A299" s="3">
        <f>SUBTOTAL(103,$B$4:B299)</f>
        <v>296</v>
      </c>
      <c r="B299" s="8">
        <v>538177</v>
      </c>
      <c r="C299" s="5" t="s">
        <v>790</v>
      </c>
      <c r="D299" s="4" t="s">
        <v>35</v>
      </c>
      <c r="E299" s="4" t="s">
        <v>751</v>
      </c>
      <c r="F299" s="30">
        <v>45140</v>
      </c>
      <c r="G299" s="19" t="s">
        <v>26</v>
      </c>
      <c r="H299" s="19" t="str">
        <f t="shared" ca="1" si="4"/>
        <v>2 Years, 10 Months, 1 Days</v>
      </c>
      <c r="I299" s="4" t="s">
        <v>791</v>
      </c>
      <c r="J299" s="4" t="s">
        <v>28</v>
      </c>
      <c r="K299" s="6">
        <v>1624608177</v>
      </c>
      <c r="L299" s="6">
        <v>1324762589</v>
      </c>
      <c r="M299" s="9">
        <v>517306</v>
      </c>
      <c r="N299" s="4" t="s">
        <v>753</v>
      </c>
      <c r="O299" s="4" t="s">
        <v>106</v>
      </c>
      <c r="P299" s="4" t="s">
        <v>754</v>
      </c>
      <c r="Q299" s="3" t="s">
        <v>32</v>
      </c>
      <c r="R299" s="3" t="s">
        <v>33</v>
      </c>
      <c r="S299" s="4"/>
    </row>
    <row r="300" spans="1:19" ht="17.45">
      <c r="A300" s="3">
        <f>SUBTOTAL(103,$B$4:B300)</f>
        <v>297</v>
      </c>
      <c r="B300" s="8">
        <v>540566</v>
      </c>
      <c r="C300" s="5" t="s">
        <v>792</v>
      </c>
      <c r="D300" s="4" t="s">
        <v>24</v>
      </c>
      <c r="E300" s="4" t="s">
        <v>751</v>
      </c>
      <c r="F300" s="30">
        <v>45286</v>
      </c>
      <c r="G300" s="19" t="s">
        <v>26</v>
      </c>
      <c r="H300" s="19" t="str">
        <f t="shared" ca="1" si="4"/>
        <v>2 Years, 5 Months, 8 Days</v>
      </c>
      <c r="I300" s="4" t="s">
        <v>793</v>
      </c>
      <c r="J300" s="4" t="s">
        <v>28</v>
      </c>
      <c r="K300" s="6">
        <v>1672627445</v>
      </c>
      <c r="L300" s="6">
        <v>1329645839</v>
      </c>
      <c r="M300" s="9">
        <v>517306</v>
      </c>
      <c r="N300" s="4" t="s">
        <v>753</v>
      </c>
      <c r="O300" s="4" t="s">
        <v>106</v>
      </c>
      <c r="P300" s="4" t="s">
        <v>754</v>
      </c>
      <c r="Q300" s="3" t="s">
        <v>32</v>
      </c>
      <c r="R300" s="3" t="s">
        <v>33</v>
      </c>
      <c r="S300" s="4"/>
    </row>
    <row r="301" spans="1:19" ht="17.45">
      <c r="A301" s="3">
        <f>SUBTOTAL(103,$B$4:B301)</f>
        <v>298</v>
      </c>
      <c r="B301" s="8">
        <v>540633</v>
      </c>
      <c r="C301" s="5" t="s">
        <v>794</v>
      </c>
      <c r="D301" s="4" t="s">
        <v>35</v>
      </c>
      <c r="E301" s="4" t="s">
        <v>751</v>
      </c>
      <c r="F301" s="30">
        <v>45288</v>
      </c>
      <c r="G301" s="19" t="s">
        <v>26</v>
      </c>
      <c r="H301" s="19" t="str">
        <f t="shared" ca="1" si="4"/>
        <v>2 Years, 5 Months, 6 Days</v>
      </c>
      <c r="I301" s="4" t="s">
        <v>795</v>
      </c>
      <c r="J301" s="4" t="s">
        <v>28</v>
      </c>
      <c r="K301" s="6">
        <v>1840791938</v>
      </c>
      <c r="L301" s="6" t="s">
        <v>42</v>
      </c>
      <c r="M301" s="9">
        <v>517306</v>
      </c>
      <c r="N301" s="4" t="s">
        <v>753</v>
      </c>
      <c r="O301" s="4" t="s">
        <v>106</v>
      </c>
      <c r="P301" s="4" t="s">
        <v>754</v>
      </c>
      <c r="Q301" s="3" t="s">
        <v>32</v>
      </c>
      <c r="R301" s="3" t="s">
        <v>33</v>
      </c>
      <c r="S301" s="4"/>
    </row>
    <row r="302" spans="1:19" ht="17.45">
      <c r="A302" s="3">
        <f>SUBTOTAL(103,$B$4:B302)</f>
        <v>299</v>
      </c>
      <c r="B302" s="8">
        <v>541022</v>
      </c>
      <c r="C302" s="5" t="s">
        <v>405</v>
      </c>
      <c r="D302" s="4" t="s">
        <v>48</v>
      </c>
      <c r="E302" s="4" t="s">
        <v>751</v>
      </c>
      <c r="F302" s="30">
        <v>45312</v>
      </c>
      <c r="G302" s="19" t="s">
        <v>26</v>
      </c>
      <c r="H302" s="19" t="str">
        <f t="shared" ca="1" si="4"/>
        <v>2 Years, 4 Months, 13 Days</v>
      </c>
      <c r="I302" s="4" t="s">
        <v>796</v>
      </c>
      <c r="J302" s="4" t="s">
        <v>28</v>
      </c>
      <c r="K302" s="6">
        <v>1670547023</v>
      </c>
      <c r="L302" s="6">
        <v>1329645749</v>
      </c>
      <c r="M302" s="9">
        <v>517306</v>
      </c>
      <c r="N302" s="4" t="s">
        <v>753</v>
      </c>
      <c r="O302" s="4" t="s">
        <v>106</v>
      </c>
      <c r="P302" s="4" t="s">
        <v>754</v>
      </c>
      <c r="Q302" s="3" t="s">
        <v>32</v>
      </c>
      <c r="R302" s="3" t="s">
        <v>33</v>
      </c>
      <c r="S302" s="4"/>
    </row>
    <row r="303" spans="1:19" ht="17.45">
      <c r="A303" s="3">
        <f>SUBTOTAL(103,$B$4:B303)</f>
        <v>300</v>
      </c>
      <c r="B303" s="8">
        <v>541033</v>
      </c>
      <c r="C303" s="5" t="s">
        <v>797</v>
      </c>
      <c r="D303" s="4" t="s">
        <v>35</v>
      </c>
      <c r="E303" s="4" t="s">
        <v>751</v>
      </c>
      <c r="F303" s="30">
        <v>45313</v>
      </c>
      <c r="G303" s="19" t="s">
        <v>26</v>
      </c>
      <c r="H303" s="19" t="str">
        <f t="shared" ca="1" si="4"/>
        <v>2 Years, 4 Months, 12 Days</v>
      </c>
      <c r="I303" s="4" t="s">
        <v>798</v>
      </c>
      <c r="J303" s="4" t="s">
        <v>28</v>
      </c>
      <c r="K303" s="6">
        <v>1670827391</v>
      </c>
      <c r="L303" s="6" t="s">
        <v>42</v>
      </c>
      <c r="M303" s="9">
        <v>517306</v>
      </c>
      <c r="N303" s="4" t="s">
        <v>753</v>
      </c>
      <c r="O303" s="4" t="s">
        <v>106</v>
      </c>
      <c r="P303" s="4" t="s">
        <v>754</v>
      </c>
      <c r="Q303" s="3" t="s">
        <v>32</v>
      </c>
      <c r="R303" s="3" t="s">
        <v>33</v>
      </c>
      <c r="S303" s="4"/>
    </row>
    <row r="304" spans="1:19" ht="17.45">
      <c r="A304" s="3">
        <f>SUBTOTAL(103,$B$4:B304)</f>
        <v>301</v>
      </c>
      <c r="B304" s="8">
        <v>541051</v>
      </c>
      <c r="C304" s="5" t="s">
        <v>799</v>
      </c>
      <c r="D304" s="4" t="s">
        <v>38</v>
      </c>
      <c r="E304" s="4" t="s">
        <v>751</v>
      </c>
      <c r="F304" s="30">
        <v>45314</v>
      </c>
      <c r="G304" s="19" t="s">
        <v>26</v>
      </c>
      <c r="H304" s="19" t="str">
        <f t="shared" ca="1" si="4"/>
        <v>2 Years, 4 Months, 11 Days</v>
      </c>
      <c r="I304" s="4" t="s">
        <v>800</v>
      </c>
      <c r="J304" s="4" t="s">
        <v>28</v>
      </c>
      <c r="K304" s="6">
        <v>1926487428</v>
      </c>
      <c r="L304" s="6">
        <v>1329645898</v>
      </c>
      <c r="M304" s="9">
        <v>517306</v>
      </c>
      <c r="N304" s="4" t="s">
        <v>753</v>
      </c>
      <c r="O304" s="4" t="s">
        <v>106</v>
      </c>
      <c r="P304" s="4" t="s">
        <v>754</v>
      </c>
      <c r="Q304" s="3" t="s">
        <v>32</v>
      </c>
      <c r="R304" s="3" t="s">
        <v>33</v>
      </c>
      <c r="S304" s="4"/>
    </row>
    <row r="305" spans="1:19" ht="17.45">
      <c r="A305" s="3">
        <f>SUBTOTAL(103,$B$4:B305)</f>
        <v>302</v>
      </c>
      <c r="B305" s="8">
        <v>541052</v>
      </c>
      <c r="C305" s="5" t="s">
        <v>801</v>
      </c>
      <c r="D305" s="4" t="s">
        <v>38</v>
      </c>
      <c r="E305" s="4" t="s">
        <v>751</v>
      </c>
      <c r="F305" s="30">
        <v>45314</v>
      </c>
      <c r="G305" s="19" t="s">
        <v>26</v>
      </c>
      <c r="H305" s="19" t="str">
        <f t="shared" ca="1" si="4"/>
        <v>2 Years, 4 Months, 11 Days</v>
      </c>
      <c r="I305" s="4" t="s">
        <v>802</v>
      </c>
      <c r="J305" s="4" t="s">
        <v>28</v>
      </c>
      <c r="K305" s="6">
        <v>1839379561</v>
      </c>
      <c r="L305" s="6" t="s">
        <v>42</v>
      </c>
      <c r="M305" s="9">
        <v>517306</v>
      </c>
      <c r="N305" s="4" t="s">
        <v>753</v>
      </c>
      <c r="O305" s="4" t="s">
        <v>106</v>
      </c>
      <c r="P305" s="4" t="s">
        <v>754</v>
      </c>
      <c r="Q305" s="3" t="s">
        <v>32</v>
      </c>
      <c r="R305" s="3" t="s">
        <v>33</v>
      </c>
      <c r="S305" s="4"/>
    </row>
    <row r="306" spans="1:19" ht="17.45">
      <c r="A306" s="3">
        <f>SUBTOTAL(103,$B$4:B306)</f>
        <v>303</v>
      </c>
      <c r="B306" s="8">
        <v>551242</v>
      </c>
      <c r="C306" s="5" t="s">
        <v>803</v>
      </c>
      <c r="D306" s="4" t="s">
        <v>35</v>
      </c>
      <c r="E306" s="4" t="s">
        <v>751</v>
      </c>
      <c r="F306" s="30">
        <v>45712</v>
      </c>
      <c r="G306" s="19" t="s">
        <v>26</v>
      </c>
      <c r="H306" s="19" t="str">
        <f t="shared" ca="1" si="4"/>
        <v>1 Years, 3 Months, 10 Days</v>
      </c>
      <c r="I306" s="4" t="s">
        <v>804</v>
      </c>
      <c r="J306" s="4" t="s">
        <v>28</v>
      </c>
      <c r="K306" s="6">
        <v>1601344327</v>
      </c>
      <c r="L306" s="6" t="s">
        <v>42</v>
      </c>
      <c r="M306" s="9">
        <v>517306</v>
      </c>
      <c r="N306" s="4" t="s">
        <v>753</v>
      </c>
      <c r="O306" s="4" t="s">
        <v>106</v>
      </c>
      <c r="P306" s="4" t="s">
        <v>754</v>
      </c>
      <c r="Q306" s="3" t="s">
        <v>32</v>
      </c>
      <c r="R306" s="3" t="s">
        <v>33</v>
      </c>
      <c r="S306" s="4"/>
    </row>
    <row r="307" spans="1:19" ht="17.45">
      <c r="A307" s="3">
        <f>SUBTOTAL(103,$B$4:B307)</f>
        <v>304</v>
      </c>
      <c r="B307" s="8">
        <v>556409</v>
      </c>
      <c r="C307" s="5" t="s">
        <v>805</v>
      </c>
      <c r="D307" s="4" t="s">
        <v>48</v>
      </c>
      <c r="E307" s="4" t="s">
        <v>751</v>
      </c>
      <c r="F307" s="30">
        <v>45901</v>
      </c>
      <c r="G307" s="19" t="s">
        <v>26</v>
      </c>
      <c r="H307" s="19" t="str">
        <f t="shared" ca="1" si="4"/>
        <v>0 Years, 9 Months, 2 Days</v>
      </c>
      <c r="I307" s="4" t="s">
        <v>806</v>
      </c>
      <c r="J307" s="4" t="s">
        <v>28</v>
      </c>
      <c r="K307" s="6">
        <v>1621916943</v>
      </c>
      <c r="L307" s="6" t="s">
        <v>42</v>
      </c>
      <c r="M307" s="9">
        <v>517306</v>
      </c>
      <c r="N307" s="4" t="s">
        <v>753</v>
      </c>
      <c r="O307" s="4" t="s">
        <v>106</v>
      </c>
      <c r="P307" s="4" t="s">
        <v>754</v>
      </c>
      <c r="Q307" s="3" t="s">
        <v>32</v>
      </c>
      <c r="R307" s="3" t="s">
        <v>33</v>
      </c>
      <c r="S307" s="4"/>
    </row>
    <row r="308" spans="1:19" ht="17.45">
      <c r="A308" s="3">
        <f>SUBTOTAL(103,$B$4:B308)</f>
        <v>305</v>
      </c>
      <c r="B308" s="8">
        <v>556691</v>
      </c>
      <c r="C308" s="5" t="s">
        <v>807</v>
      </c>
      <c r="D308" s="4" t="s">
        <v>48</v>
      </c>
      <c r="E308" s="4" t="s">
        <v>751</v>
      </c>
      <c r="F308" s="30">
        <v>45907</v>
      </c>
      <c r="G308" s="19" t="s">
        <v>26</v>
      </c>
      <c r="H308" s="19" t="str">
        <f t="shared" ca="1" si="4"/>
        <v>0 Years, 8 Months, 27 Days</v>
      </c>
      <c r="I308" s="4" t="s">
        <v>808</v>
      </c>
      <c r="J308" s="4" t="s">
        <v>28</v>
      </c>
      <c r="K308" s="6">
        <v>1714109529</v>
      </c>
      <c r="L308" s="6" t="s">
        <v>42</v>
      </c>
      <c r="M308" s="9">
        <v>517306</v>
      </c>
      <c r="N308" s="4" t="s">
        <v>753</v>
      </c>
      <c r="O308" s="4" t="s">
        <v>106</v>
      </c>
      <c r="P308" s="4" t="s">
        <v>754</v>
      </c>
      <c r="Q308" s="3" t="s">
        <v>32</v>
      </c>
      <c r="R308" s="3" t="s">
        <v>33</v>
      </c>
      <c r="S308" s="4"/>
    </row>
    <row r="309" spans="1:19" ht="17.45">
      <c r="A309" s="3">
        <f>SUBTOTAL(103,$B$4:B309)</f>
        <v>306</v>
      </c>
      <c r="B309" s="8">
        <v>529702</v>
      </c>
      <c r="C309" s="5" t="s">
        <v>809</v>
      </c>
      <c r="D309" s="4" t="s">
        <v>48</v>
      </c>
      <c r="E309" s="4" t="s">
        <v>751</v>
      </c>
      <c r="F309" s="30">
        <v>44738</v>
      </c>
      <c r="G309" s="19" t="s">
        <v>56</v>
      </c>
      <c r="H309" s="19" t="str">
        <f t="shared" ca="1" si="4"/>
        <v>3 Years, 11 Months, 8 Days</v>
      </c>
      <c r="I309" s="4" t="s">
        <v>810</v>
      </c>
      <c r="J309" s="4" t="s">
        <v>58</v>
      </c>
      <c r="K309" s="6">
        <v>1681951943</v>
      </c>
      <c r="L309" s="6">
        <v>1324762623</v>
      </c>
      <c r="M309" s="9">
        <v>517306</v>
      </c>
      <c r="N309" s="4" t="s">
        <v>753</v>
      </c>
      <c r="O309" s="4" t="s">
        <v>106</v>
      </c>
      <c r="P309" s="4" t="s">
        <v>754</v>
      </c>
      <c r="Q309" s="3" t="s">
        <v>32</v>
      </c>
      <c r="R309" s="3" t="s">
        <v>33</v>
      </c>
      <c r="S309" s="4"/>
    </row>
    <row r="310" spans="1:19" ht="17.45">
      <c r="A310" s="3">
        <f>SUBTOTAL(103,$B$4:B310)</f>
        <v>307</v>
      </c>
      <c r="B310" s="8">
        <v>529701</v>
      </c>
      <c r="C310" s="5" t="s">
        <v>811</v>
      </c>
      <c r="D310" s="4" t="s">
        <v>48</v>
      </c>
      <c r="E310" s="4" t="s">
        <v>751</v>
      </c>
      <c r="F310" s="30">
        <v>44738</v>
      </c>
      <c r="G310" s="19" t="s">
        <v>144</v>
      </c>
      <c r="H310" s="19" t="str">
        <f t="shared" ca="1" si="4"/>
        <v>3 Years, 11 Months, 8 Days</v>
      </c>
      <c r="I310" s="4" t="s">
        <v>812</v>
      </c>
      <c r="J310" s="4" t="s">
        <v>146</v>
      </c>
      <c r="K310" s="6">
        <v>1921706670</v>
      </c>
      <c r="L310" s="6">
        <v>1324762622</v>
      </c>
      <c r="M310" s="9">
        <v>517306</v>
      </c>
      <c r="N310" s="4" t="s">
        <v>753</v>
      </c>
      <c r="O310" s="4" t="s">
        <v>106</v>
      </c>
      <c r="P310" s="4" t="s">
        <v>754</v>
      </c>
      <c r="Q310" s="3" t="s">
        <v>32</v>
      </c>
      <c r="R310" s="3" t="s">
        <v>33</v>
      </c>
      <c r="S310" s="4"/>
    </row>
    <row r="311" spans="1:19" ht="17.45">
      <c r="A311" s="3">
        <f>SUBTOTAL(103,$B$4:B311)</f>
        <v>308</v>
      </c>
      <c r="B311" s="8">
        <v>517306</v>
      </c>
      <c r="C311" s="5" t="s">
        <v>753</v>
      </c>
      <c r="D311" s="4" t="s">
        <v>106</v>
      </c>
      <c r="E311" s="4" t="s">
        <v>751</v>
      </c>
      <c r="F311" s="30">
        <v>44287</v>
      </c>
      <c r="G311" s="19" t="s">
        <v>26</v>
      </c>
      <c r="H311" s="19" t="str">
        <f t="shared" ca="1" si="4"/>
        <v>5 Years, 2 Months, 2 Days</v>
      </c>
      <c r="I311" s="4" t="s">
        <v>754</v>
      </c>
      <c r="J311" s="4" t="s">
        <v>28</v>
      </c>
      <c r="K311" s="6">
        <v>1755516445</v>
      </c>
      <c r="L311" s="6">
        <v>1755516445</v>
      </c>
      <c r="M311" s="9">
        <v>530796</v>
      </c>
      <c r="N311" s="4" t="s">
        <v>813</v>
      </c>
      <c r="O311" s="4" t="s">
        <v>129</v>
      </c>
      <c r="P311" s="4" t="s">
        <v>814</v>
      </c>
      <c r="Q311" s="3" t="s">
        <v>123</v>
      </c>
      <c r="R311" s="3" t="s">
        <v>124</v>
      </c>
      <c r="S311" s="4" t="s">
        <v>751</v>
      </c>
    </row>
    <row r="312" spans="1:19" ht="17.45">
      <c r="A312" s="3">
        <f>SUBTOTAL(103,$B$4:B312)</f>
        <v>309</v>
      </c>
      <c r="B312" s="8">
        <v>541716</v>
      </c>
      <c r="C312" s="5" t="s">
        <v>815</v>
      </c>
      <c r="D312" s="4" t="s">
        <v>48</v>
      </c>
      <c r="E312" s="4" t="s">
        <v>751</v>
      </c>
      <c r="F312" s="30">
        <v>45341</v>
      </c>
      <c r="G312" s="19" t="s">
        <v>26</v>
      </c>
      <c r="H312" s="19" t="str">
        <f t="shared" ca="1" si="4"/>
        <v>2 Years, 3 Months, 15 Days</v>
      </c>
      <c r="I312" s="4" t="s">
        <v>816</v>
      </c>
      <c r="J312" s="4" t="s">
        <v>28</v>
      </c>
      <c r="K312" s="6">
        <v>1929901853</v>
      </c>
      <c r="L312" s="6">
        <v>1329645954</v>
      </c>
      <c r="M312" s="9">
        <v>530796</v>
      </c>
      <c r="N312" s="4" t="s">
        <v>813</v>
      </c>
      <c r="O312" s="4" t="s">
        <v>129</v>
      </c>
      <c r="P312" s="4" t="s">
        <v>814</v>
      </c>
      <c r="Q312" s="3" t="s">
        <v>32</v>
      </c>
      <c r="R312" s="3" t="s">
        <v>33</v>
      </c>
      <c r="S312" s="4"/>
    </row>
    <row r="313" spans="1:19" ht="17.45">
      <c r="A313" s="3">
        <f>SUBTOTAL(103,$B$4:B313)</f>
        <v>310</v>
      </c>
      <c r="B313" s="8">
        <v>530796</v>
      </c>
      <c r="C313" s="5" t="s">
        <v>813</v>
      </c>
      <c r="D313" s="4" t="s">
        <v>129</v>
      </c>
      <c r="E313" s="4" t="s">
        <v>751</v>
      </c>
      <c r="F313" s="30">
        <v>44808</v>
      </c>
      <c r="G313" s="19" t="s">
        <v>26</v>
      </c>
      <c r="H313" s="19" t="str">
        <f t="shared" ca="1" si="4"/>
        <v>3 Years, 8 Months, 30 Days</v>
      </c>
      <c r="I313" s="4" t="s">
        <v>814</v>
      </c>
      <c r="J313" s="4" t="s">
        <v>28</v>
      </c>
      <c r="K313" s="6">
        <v>1711539230</v>
      </c>
      <c r="L313" s="6">
        <v>1711539230</v>
      </c>
      <c r="M313" s="9"/>
      <c r="N313" s="4" t="s">
        <v>175</v>
      </c>
      <c r="O313" s="4" t="s">
        <v>175</v>
      </c>
      <c r="P313" s="4" t="s">
        <v>175</v>
      </c>
      <c r="Q313" s="3" t="s">
        <v>123</v>
      </c>
      <c r="R313" s="3" t="s">
        <v>124</v>
      </c>
      <c r="S313" s="4" t="s">
        <v>817</v>
      </c>
    </row>
    <row r="314" spans="1:19" ht="17.45">
      <c r="A314" s="3">
        <f>SUBTOTAL(103,$B$4:B314)</f>
        <v>311</v>
      </c>
      <c r="B314" s="8">
        <v>524239</v>
      </c>
      <c r="C314" s="5" t="s">
        <v>818</v>
      </c>
      <c r="D314" s="4" t="s">
        <v>48</v>
      </c>
      <c r="E314" s="4" t="s">
        <v>819</v>
      </c>
      <c r="F314" s="30">
        <v>44488</v>
      </c>
      <c r="G314" s="19" t="s">
        <v>282</v>
      </c>
      <c r="H314" s="19" t="str">
        <f t="shared" ca="1" si="4"/>
        <v>4 Years, 7 Months, 15 Days</v>
      </c>
      <c r="I314" s="4" t="s">
        <v>820</v>
      </c>
      <c r="J314" s="4" t="s">
        <v>284</v>
      </c>
      <c r="K314" s="6">
        <v>1689571868</v>
      </c>
      <c r="L314" s="6">
        <v>1755694461</v>
      </c>
      <c r="M314" s="9">
        <v>1391</v>
      </c>
      <c r="N314" s="4" t="s">
        <v>821</v>
      </c>
      <c r="O314" s="4" t="s">
        <v>61</v>
      </c>
      <c r="P314" s="4" t="s">
        <v>822</v>
      </c>
      <c r="Q314" s="3" t="s">
        <v>32</v>
      </c>
      <c r="R314" s="3" t="s">
        <v>33</v>
      </c>
      <c r="S314" s="4"/>
    </row>
    <row r="315" spans="1:19" ht="17.45">
      <c r="A315" s="3">
        <f>SUBTOTAL(103,$B$4:B315)</f>
        <v>312</v>
      </c>
      <c r="B315" s="8">
        <v>548122</v>
      </c>
      <c r="C315" s="5" t="s">
        <v>823</v>
      </c>
      <c r="D315" s="4" t="s">
        <v>48</v>
      </c>
      <c r="E315" s="4" t="s">
        <v>819</v>
      </c>
      <c r="F315" s="30">
        <v>45599</v>
      </c>
      <c r="G315" s="19" t="s">
        <v>282</v>
      </c>
      <c r="H315" s="19" t="str">
        <f t="shared" ca="1" si="4"/>
        <v>1 Years, 7 Months, 0 Days</v>
      </c>
      <c r="I315" s="4" t="s">
        <v>824</v>
      </c>
      <c r="J315" s="4" t="s">
        <v>284</v>
      </c>
      <c r="K315" s="6">
        <v>1324762443</v>
      </c>
      <c r="L315" s="6" t="s">
        <v>42</v>
      </c>
      <c r="M315" s="9">
        <v>1391</v>
      </c>
      <c r="N315" s="4" t="s">
        <v>821</v>
      </c>
      <c r="O315" s="4" t="s">
        <v>61</v>
      </c>
      <c r="P315" s="4" t="s">
        <v>822</v>
      </c>
      <c r="Q315" s="3" t="s">
        <v>32</v>
      </c>
      <c r="R315" s="3" t="s">
        <v>33</v>
      </c>
      <c r="S315" s="4"/>
    </row>
    <row r="316" spans="1:19" ht="17.45">
      <c r="A316" s="3">
        <f>SUBTOTAL(103,$B$4:B316)</f>
        <v>313</v>
      </c>
      <c r="B316" s="8">
        <v>548125</v>
      </c>
      <c r="C316" s="5" t="s">
        <v>825</v>
      </c>
      <c r="D316" s="4" t="s">
        <v>48</v>
      </c>
      <c r="E316" s="4" t="s">
        <v>819</v>
      </c>
      <c r="F316" s="30">
        <v>45599</v>
      </c>
      <c r="G316" s="19" t="s">
        <v>826</v>
      </c>
      <c r="H316" s="19" t="str">
        <f t="shared" ca="1" si="4"/>
        <v>1 Years, 7 Months, 0 Days</v>
      </c>
      <c r="I316" s="4" t="s">
        <v>827</v>
      </c>
      <c r="J316" s="4" t="s">
        <v>284</v>
      </c>
      <c r="K316" s="6">
        <v>1703334933</v>
      </c>
      <c r="L316" s="6" t="s">
        <v>42</v>
      </c>
      <c r="M316" s="9">
        <v>1391</v>
      </c>
      <c r="N316" s="4" t="s">
        <v>821</v>
      </c>
      <c r="O316" s="4" t="s">
        <v>61</v>
      </c>
      <c r="P316" s="4" t="s">
        <v>822</v>
      </c>
      <c r="Q316" s="3" t="s">
        <v>32</v>
      </c>
      <c r="R316" s="3" t="s">
        <v>33</v>
      </c>
      <c r="S316" s="4"/>
    </row>
    <row r="317" spans="1:19" ht="17.45">
      <c r="A317" s="3">
        <f>SUBTOTAL(103,$B$4:B317)</f>
        <v>314</v>
      </c>
      <c r="B317" s="8">
        <v>553836</v>
      </c>
      <c r="C317" s="5" t="s">
        <v>828</v>
      </c>
      <c r="D317" s="4" t="s">
        <v>38</v>
      </c>
      <c r="E317" s="4" t="s">
        <v>819</v>
      </c>
      <c r="F317" s="30">
        <v>45810</v>
      </c>
      <c r="G317" s="19" t="s">
        <v>282</v>
      </c>
      <c r="H317" s="19" t="str">
        <f t="shared" ca="1" si="4"/>
        <v>1 Years, 0 Months, 1 Days</v>
      </c>
      <c r="I317" s="4" t="s">
        <v>829</v>
      </c>
      <c r="J317" s="4" t="s">
        <v>284</v>
      </c>
      <c r="K317" s="6">
        <v>1781548404</v>
      </c>
      <c r="L317" s="6" t="s">
        <v>42</v>
      </c>
      <c r="M317" s="9">
        <v>1391</v>
      </c>
      <c r="N317" s="4" t="s">
        <v>821</v>
      </c>
      <c r="O317" s="4" t="s">
        <v>61</v>
      </c>
      <c r="P317" s="4" t="s">
        <v>822</v>
      </c>
      <c r="Q317" s="3" t="s">
        <v>32</v>
      </c>
      <c r="R317" s="3" t="s">
        <v>33</v>
      </c>
      <c r="S317" s="4"/>
    </row>
    <row r="318" spans="1:19" ht="17.45">
      <c r="A318" s="3">
        <f>SUBTOTAL(103,$B$4:B318)</f>
        <v>315</v>
      </c>
      <c r="B318" s="8">
        <v>557581</v>
      </c>
      <c r="C318" s="5" t="s">
        <v>830</v>
      </c>
      <c r="D318" s="4" t="s">
        <v>38</v>
      </c>
      <c r="E318" s="4" t="s">
        <v>819</v>
      </c>
      <c r="F318" s="30">
        <v>45922</v>
      </c>
      <c r="G318" s="19" t="s">
        <v>282</v>
      </c>
      <c r="H318" s="19" t="str">
        <f t="shared" ca="1" si="4"/>
        <v>0 Years, 8 Months, 12 Days</v>
      </c>
      <c r="I318" s="4" t="s">
        <v>831</v>
      </c>
      <c r="J318" s="4" t="s">
        <v>284</v>
      </c>
      <c r="K318" s="6">
        <v>1849248235</v>
      </c>
      <c r="L318" s="6" t="s">
        <v>42</v>
      </c>
      <c r="M318" s="9">
        <v>1391</v>
      </c>
      <c r="N318" s="4" t="s">
        <v>821</v>
      </c>
      <c r="O318" s="4" t="s">
        <v>61</v>
      </c>
      <c r="P318" s="4" t="s">
        <v>822</v>
      </c>
      <c r="Q318" s="3" t="s">
        <v>32</v>
      </c>
      <c r="R318" s="3" t="s">
        <v>33</v>
      </c>
      <c r="S318" s="4"/>
    </row>
    <row r="319" spans="1:19" ht="17.45">
      <c r="A319" s="3">
        <f>SUBTOTAL(103,$B$4:B319)</f>
        <v>316</v>
      </c>
      <c r="B319" s="8">
        <v>561834</v>
      </c>
      <c r="C319" s="5" t="s">
        <v>832</v>
      </c>
      <c r="D319" s="4" t="s">
        <v>48</v>
      </c>
      <c r="E319" s="4" t="s">
        <v>819</v>
      </c>
      <c r="F319" s="30">
        <v>46048</v>
      </c>
      <c r="G319" s="19" t="s">
        <v>826</v>
      </c>
      <c r="H319" s="19" t="str">
        <f t="shared" ca="1" si="4"/>
        <v>0 Years, 4 Months, 8 Days</v>
      </c>
      <c r="I319" s="16" t="s">
        <v>833</v>
      </c>
      <c r="J319" s="4" t="s">
        <v>284</v>
      </c>
      <c r="K319" s="6" t="s">
        <v>834</v>
      </c>
      <c r="L319" s="6"/>
      <c r="M319" s="9">
        <v>1391</v>
      </c>
      <c r="N319" s="4" t="s">
        <v>821</v>
      </c>
      <c r="O319" s="4" t="s">
        <v>61</v>
      </c>
      <c r="P319" s="4" t="s">
        <v>822</v>
      </c>
      <c r="Q319" s="3" t="s">
        <v>32</v>
      </c>
      <c r="R319" s="3" t="s">
        <v>33</v>
      </c>
      <c r="S319" s="4"/>
    </row>
    <row r="320" spans="1:19" ht="17.45">
      <c r="A320" s="3">
        <f>SUBTOTAL(103,$B$4:B320)</f>
        <v>317</v>
      </c>
      <c r="B320" s="8">
        <v>562916</v>
      </c>
      <c r="C320" s="5" t="s">
        <v>835</v>
      </c>
      <c r="D320" s="4" t="s">
        <v>38</v>
      </c>
      <c r="E320" s="4" t="s">
        <v>819</v>
      </c>
      <c r="F320" s="30">
        <v>46079</v>
      </c>
      <c r="G320" s="19" t="s">
        <v>836</v>
      </c>
      <c r="H320" s="19" t="str">
        <f t="shared" ca="1" si="4"/>
        <v>0 Years, 3 Months, 8 Days</v>
      </c>
      <c r="I320" s="4" t="s">
        <v>837</v>
      </c>
      <c r="J320" s="4" t="s">
        <v>284</v>
      </c>
      <c r="K320" s="6" t="s">
        <v>838</v>
      </c>
      <c r="L320" s="6"/>
      <c r="M320" s="9">
        <v>1391</v>
      </c>
      <c r="N320" s="4" t="s">
        <v>821</v>
      </c>
      <c r="O320" s="4" t="s">
        <v>61</v>
      </c>
      <c r="P320" s="4" t="s">
        <v>822</v>
      </c>
      <c r="Q320" s="3" t="s">
        <v>32</v>
      </c>
      <c r="R320" s="3" t="s">
        <v>33</v>
      </c>
      <c r="S320" s="4"/>
    </row>
    <row r="321" spans="1:19" ht="17.45">
      <c r="A321" s="3">
        <f>SUBTOTAL(103,$B$4:B321)</f>
        <v>318</v>
      </c>
      <c r="B321" s="8">
        <v>562926</v>
      </c>
      <c r="C321" s="5" t="s">
        <v>839</v>
      </c>
      <c r="D321" s="4" t="s">
        <v>38</v>
      </c>
      <c r="E321" s="4" t="s">
        <v>819</v>
      </c>
      <c r="F321" s="30">
        <v>46079</v>
      </c>
      <c r="G321" s="19" t="s">
        <v>826</v>
      </c>
      <c r="H321" s="19" t="str">
        <f t="shared" ca="1" si="4"/>
        <v>0 Years, 3 Months, 8 Days</v>
      </c>
      <c r="I321" s="4" t="s">
        <v>840</v>
      </c>
      <c r="J321" s="4" t="s">
        <v>284</v>
      </c>
      <c r="K321" s="6" t="s">
        <v>841</v>
      </c>
      <c r="L321" s="6"/>
      <c r="M321" s="9">
        <v>1391</v>
      </c>
      <c r="N321" s="4" t="s">
        <v>821</v>
      </c>
      <c r="O321" s="4" t="s">
        <v>61</v>
      </c>
      <c r="P321" s="4" t="s">
        <v>822</v>
      </c>
      <c r="Q321" s="3" t="s">
        <v>32</v>
      </c>
      <c r="R321" s="3" t="s">
        <v>33</v>
      </c>
      <c r="S321" s="4"/>
    </row>
    <row r="322" spans="1:19" ht="17.45">
      <c r="A322" s="3">
        <f>SUBTOTAL(103,$B$4:B322)</f>
        <v>319</v>
      </c>
      <c r="B322" s="8">
        <v>528977</v>
      </c>
      <c r="C322" s="5" t="s">
        <v>842</v>
      </c>
      <c r="D322" s="4" t="s">
        <v>35</v>
      </c>
      <c r="E322" s="4" t="s">
        <v>819</v>
      </c>
      <c r="F322" s="30">
        <v>44689</v>
      </c>
      <c r="G322" s="19" t="s">
        <v>282</v>
      </c>
      <c r="H322" s="19" t="str">
        <f t="shared" ca="1" si="4"/>
        <v>4 Years, 0 Months, 26 Days</v>
      </c>
      <c r="I322" s="4" t="s">
        <v>843</v>
      </c>
      <c r="J322" s="4" t="s">
        <v>284</v>
      </c>
      <c r="K322" s="6">
        <v>1711207128</v>
      </c>
      <c r="L322" s="6">
        <v>1324762748</v>
      </c>
      <c r="M322" s="9">
        <v>365737</v>
      </c>
      <c r="N322" s="4" t="s">
        <v>844</v>
      </c>
      <c r="O322" s="4" t="s">
        <v>24</v>
      </c>
      <c r="P322" s="4" t="s">
        <v>845</v>
      </c>
      <c r="Q322" s="3" t="s">
        <v>32</v>
      </c>
      <c r="R322" s="3" t="s">
        <v>33</v>
      </c>
      <c r="S322" s="4"/>
    </row>
    <row r="323" spans="1:19" ht="17.45">
      <c r="A323" s="3">
        <f>SUBTOTAL(103,$B$4:B323)</f>
        <v>320</v>
      </c>
      <c r="B323" s="8">
        <v>542362</v>
      </c>
      <c r="C323" s="5" t="s">
        <v>846</v>
      </c>
      <c r="D323" s="4" t="s">
        <v>38</v>
      </c>
      <c r="E323" s="4" t="s">
        <v>819</v>
      </c>
      <c r="F323" s="30">
        <v>45383</v>
      </c>
      <c r="G323" s="19" t="s">
        <v>282</v>
      </c>
      <c r="H323" s="19" t="str">
        <f t="shared" ca="1" si="4"/>
        <v>2 Years, 2 Months, 2 Days</v>
      </c>
      <c r="I323" s="4" t="s">
        <v>847</v>
      </c>
      <c r="J323" s="4" t="s">
        <v>284</v>
      </c>
      <c r="K323" s="6">
        <v>1630105940</v>
      </c>
      <c r="L323" s="6">
        <v>1334762316</v>
      </c>
      <c r="M323" s="9">
        <v>365737</v>
      </c>
      <c r="N323" s="4" t="s">
        <v>844</v>
      </c>
      <c r="O323" s="4" t="s">
        <v>24</v>
      </c>
      <c r="P323" s="4" t="s">
        <v>845</v>
      </c>
      <c r="Q323" s="3" t="s">
        <v>32</v>
      </c>
      <c r="R323" s="3" t="s">
        <v>33</v>
      </c>
      <c r="S323" s="4"/>
    </row>
    <row r="324" spans="1:19" ht="17.45">
      <c r="A324" s="3">
        <f>SUBTOTAL(103,$B$4:B324)</f>
        <v>321</v>
      </c>
      <c r="B324" s="8">
        <v>536590</v>
      </c>
      <c r="C324" s="5" t="s">
        <v>848</v>
      </c>
      <c r="D324" s="4" t="s">
        <v>94</v>
      </c>
      <c r="E324" s="4" t="s">
        <v>819</v>
      </c>
      <c r="F324" s="30">
        <v>45043</v>
      </c>
      <c r="G324" s="19" t="s">
        <v>26</v>
      </c>
      <c r="H324" s="19" t="str">
        <f t="shared" ca="1" si="4"/>
        <v>3 Years, 1 Months, 7 Days</v>
      </c>
      <c r="I324" s="4" t="s">
        <v>849</v>
      </c>
      <c r="J324" s="4" t="s">
        <v>28</v>
      </c>
      <c r="K324" s="6">
        <v>1912995730</v>
      </c>
      <c r="L324" s="6">
        <v>1713020549</v>
      </c>
      <c r="M324" s="9">
        <v>533137</v>
      </c>
      <c r="N324" s="4" t="s">
        <v>285</v>
      </c>
      <c r="O324" s="4" t="s">
        <v>286</v>
      </c>
      <c r="P324" s="4" t="s">
        <v>287</v>
      </c>
      <c r="Q324" s="3" t="s">
        <v>123</v>
      </c>
      <c r="R324" s="3" t="s">
        <v>124</v>
      </c>
      <c r="S324" s="4" t="s">
        <v>850</v>
      </c>
    </row>
    <row r="325" spans="1:19" ht="17.45">
      <c r="A325" s="3">
        <f>SUBTOTAL(103,$B$4:B325)</f>
        <v>322</v>
      </c>
      <c r="B325" s="8">
        <v>558368</v>
      </c>
      <c r="C325" s="5" t="s">
        <v>851</v>
      </c>
      <c r="D325" s="4" t="s">
        <v>106</v>
      </c>
      <c r="E325" s="4" t="s">
        <v>819</v>
      </c>
      <c r="F325" s="30">
        <v>45945</v>
      </c>
      <c r="G325" s="19" t="s">
        <v>26</v>
      </c>
      <c r="H325" s="19" t="str">
        <f t="shared" ref="H325:H388" ca="1" si="5">DATEDIF(F325,TODAY(),"Y") &amp; " Years, " &amp; DATEDIF(F325,TODAY(),"YM") &amp; " Months, " &amp; DATEDIF(F325,TODAY(),"MD") &amp; " Days"</f>
        <v>0 Years, 7 Months, 19 Days</v>
      </c>
      <c r="I325" s="4" t="s">
        <v>852</v>
      </c>
      <c r="J325" s="4" t="s">
        <v>28</v>
      </c>
      <c r="K325" s="6">
        <v>1711482400</v>
      </c>
      <c r="L325" s="6" t="s">
        <v>42</v>
      </c>
      <c r="M325" s="9">
        <v>533137</v>
      </c>
      <c r="N325" s="4" t="s">
        <v>285</v>
      </c>
      <c r="O325" s="4" t="s">
        <v>286</v>
      </c>
      <c r="P325" s="4" t="s">
        <v>287</v>
      </c>
      <c r="Q325" s="3" t="s">
        <v>123</v>
      </c>
      <c r="R325" s="3" t="s">
        <v>124</v>
      </c>
      <c r="S325" s="4" t="s">
        <v>853</v>
      </c>
    </row>
    <row r="326" spans="1:19" ht="17.45">
      <c r="A326" s="3">
        <f>SUBTOTAL(103,$B$4:B326)</f>
        <v>323</v>
      </c>
      <c r="B326" s="8">
        <v>559502</v>
      </c>
      <c r="C326" s="5" t="s">
        <v>854</v>
      </c>
      <c r="D326" s="4" t="s">
        <v>48</v>
      </c>
      <c r="E326" s="4" t="s">
        <v>819</v>
      </c>
      <c r="F326" s="30">
        <v>45981</v>
      </c>
      <c r="G326" s="19" t="s">
        <v>26</v>
      </c>
      <c r="H326" s="19" t="str">
        <f t="shared" ca="1" si="5"/>
        <v>0 Years, 6 Months, 14 Days</v>
      </c>
      <c r="I326" s="4" t="s">
        <v>855</v>
      </c>
      <c r="J326" s="4" t="s">
        <v>28</v>
      </c>
      <c r="K326" s="6">
        <v>1858083252</v>
      </c>
      <c r="L326" s="6" t="s">
        <v>42</v>
      </c>
      <c r="M326" s="9">
        <v>533137</v>
      </c>
      <c r="N326" s="4" t="s">
        <v>285</v>
      </c>
      <c r="O326" s="4" t="s">
        <v>286</v>
      </c>
      <c r="P326" s="4" t="s">
        <v>287</v>
      </c>
      <c r="Q326" s="3" t="s">
        <v>32</v>
      </c>
      <c r="R326" s="3" t="s">
        <v>33</v>
      </c>
      <c r="S326" s="4"/>
    </row>
    <row r="327" spans="1:19" ht="17.45">
      <c r="A327" s="3">
        <f>SUBTOTAL(103,$B$4:B327)</f>
        <v>324</v>
      </c>
      <c r="B327" s="8">
        <v>1391</v>
      </c>
      <c r="C327" s="5" t="s">
        <v>821</v>
      </c>
      <c r="D327" s="4" t="s">
        <v>61</v>
      </c>
      <c r="E327" s="4" t="s">
        <v>819</v>
      </c>
      <c r="F327" s="30">
        <v>40575</v>
      </c>
      <c r="G327" s="19" t="s">
        <v>282</v>
      </c>
      <c r="H327" s="19" t="str">
        <f t="shared" ca="1" si="5"/>
        <v>15 Years, 4 Months, 2 Days</v>
      </c>
      <c r="I327" s="4" t="s">
        <v>822</v>
      </c>
      <c r="J327" s="4" t="s">
        <v>284</v>
      </c>
      <c r="K327" s="6">
        <v>1719016278</v>
      </c>
      <c r="L327" s="6">
        <v>1755630245</v>
      </c>
      <c r="M327" s="9">
        <v>533137</v>
      </c>
      <c r="N327" s="4" t="s">
        <v>285</v>
      </c>
      <c r="O327" s="4" t="s">
        <v>286</v>
      </c>
      <c r="P327" s="4" t="s">
        <v>287</v>
      </c>
      <c r="Q327" s="3" t="s">
        <v>32</v>
      </c>
      <c r="R327" s="3" t="s">
        <v>33</v>
      </c>
      <c r="S327" s="4"/>
    </row>
    <row r="328" spans="1:19" ht="17.45">
      <c r="A328" s="3">
        <f>SUBTOTAL(103,$B$4:B328)</f>
        <v>325</v>
      </c>
      <c r="B328" s="8">
        <v>533831</v>
      </c>
      <c r="C328" s="5" t="s">
        <v>856</v>
      </c>
      <c r="D328" s="4" t="s">
        <v>61</v>
      </c>
      <c r="E328" s="4" t="s">
        <v>819</v>
      </c>
      <c r="F328" s="30">
        <v>44924</v>
      </c>
      <c r="G328" s="19" t="s">
        <v>282</v>
      </c>
      <c r="H328" s="19" t="str">
        <f t="shared" ca="1" si="5"/>
        <v>3 Years, 5 Months, 5 Days</v>
      </c>
      <c r="I328" s="4" t="s">
        <v>857</v>
      </c>
      <c r="J328" s="4" t="s">
        <v>284</v>
      </c>
      <c r="K328" s="6">
        <v>1324762477</v>
      </c>
      <c r="L328" s="6">
        <v>1324762477</v>
      </c>
      <c r="M328" s="9">
        <v>533137</v>
      </c>
      <c r="N328" s="4" t="s">
        <v>285</v>
      </c>
      <c r="O328" s="4" t="s">
        <v>286</v>
      </c>
      <c r="P328" s="4" t="s">
        <v>287</v>
      </c>
      <c r="Q328" s="3" t="s">
        <v>32</v>
      </c>
      <c r="R328" s="3" t="s">
        <v>33</v>
      </c>
      <c r="S328" s="4"/>
    </row>
    <row r="329" spans="1:19" ht="17.45">
      <c r="A329" s="3">
        <f>SUBTOTAL(103,$B$4:B329)</f>
        <v>326</v>
      </c>
      <c r="B329" s="8">
        <v>534189</v>
      </c>
      <c r="C329" s="5" t="s">
        <v>858</v>
      </c>
      <c r="D329" s="4" t="s">
        <v>48</v>
      </c>
      <c r="E329" s="4" t="s">
        <v>819</v>
      </c>
      <c r="F329" s="30">
        <v>44944</v>
      </c>
      <c r="G329" s="19" t="s">
        <v>282</v>
      </c>
      <c r="H329" s="19" t="str">
        <f t="shared" ca="1" si="5"/>
        <v>3 Years, 4 Months, 16 Days</v>
      </c>
      <c r="I329" s="4" t="s">
        <v>859</v>
      </c>
      <c r="J329" s="4" t="s">
        <v>284</v>
      </c>
      <c r="K329" s="6">
        <v>1329645714</v>
      </c>
      <c r="L329" s="6">
        <v>1329645714</v>
      </c>
      <c r="M329" s="9">
        <v>533137</v>
      </c>
      <c r="N329" s="4" t="s">
        <v>285</v>
      </c>
      <c r="O329" s="4" t="s">
        <v>286</v>
      </c>
      <c r="P329" s="4" t="s">
        <v>287</v>
      </c>
      <c r="Q329" s="3" t="s">
        <v>32</v>
      </c>
      <c r="R329" s="3" t="s">
        <v>33</v>
      </c>
      <c r="S329" s="4"/>
    </row>
    <row r="330" spans="1:19" ht="17.45">
      <c r="A330" s="3">
        <f>SUBTOTAL(103,$B$4:B330)</f>
        <v>327</v>
      </c>
      <c r="B330" s="8">
        <v>538582</v>
      </c>
      <c r="C330" s="5" t="s">
        <v>860</v>
      </c>
      <c r="D330" s="4" t="s">
        <v>48</v>
      </c>
      <c r="E330" s="4" t="s">
        <v>819</v>
      </c>
      <c r="F330" s="30">
        <v>45161</v>
      </c>
      <c r="G330" s="19" t="s">
        <v>282</v>
      </c>
      <c r="H330" s="19" t="str">
        <f t="shared" ca="1" si="5"/>
        <v>2 Years, 9 Months, 11 Days</v>
      </c>
      <c r="I330" s="4" t="s">
        <v>861</v>
      </c>
      <c r="J330" s="4" t="s">
        <v>284</v>
      </c>
      <c r="K330" s="6">
        <v>1683325671</v>
      </c>
      <c r="L330" s="6">
        <v>1324762548</v>
      </c>
      <c r="M330" s="9">
        <v>533137</v>
      </c>
      <c r="N330" s="4" t="s">
        <v>285</v>
      </c>
      <c r="O330" s="4" t="s">
        <v>286</v>
      </c>
      <c r="P330" s="4" t="s">
        <v>287</v>
      </c>
      <c r="Q330" s="3" t="s">
        <v>32</v>
      </c>
      <c r="R330" s="3" t="s">
        <v>33</v>
      </c>
      <c r="S330" s="4"/>
    </row>
    <row r="331" spans="1:19" ht="17.45">
      <c r="A331" s="3">
        <f>SUBTOTAL(103,$B$4:B331)</f>
        <v>328</v>
      </c>
      <c r="B331" s="8">
        <v>540692</v>
      </c>
      <c r="C331" s="5" t="s">
        <v>862</v>
      </c>
      <c r="D331" s="4" t="s">
        <v>48</v>
      </c>
      <c r="E331" s="4" t="s">
        <v>819</v>
      </c>
      <c r="F331" s="30">
        <v>45292</v>
      </c>
      <c r="G331" s="19" t="s">
        <v>282</v>
      </c>
      <c r="H331" s="19" t="str">
        <f t="shared" ca="1" si="5"/>
        <v>2 Years, 5 Months, 2 Days</v>
      </c>
      <c r="I331" s="4" t="s">
        <v>863</v>
      </c>
      <c r="J331" s="4" t="s">
        <v>284</v>
      </c>
      <c r="K331" s="6">
        <v>1822931831</v>
      </c>
      <c r="L331" s="6">
        <v>1329645890</v>
      </c>
      <c r="M331" s="9">
        <v>533137</v>
      </c>
      <c r="N331" s="4" t="s">
        <v>285</v>
      </c>
      <c r="O331" s="4" t="s">
        <v>286</v>
      </c>
      <c r="P331" s="4" t="s">
        <v>287</v>
      </c>
      <c r="Q331" s="3" t="s">
        <v>32</v>
      </c>
      <c r="R331" s="3" t="s">
        <v>33</v>
      </c>
      <c r="S331" s="4"/>
    </row>
    <row r="332" spans="1:19" ht="17.45">
      <c r="A332" s="3">
        <f>SUBTOTAL(103,$B$4:B332)</f>
        <v>329</v>
      </c>
      <c r="B332" s="8">
        <v>548123</v>
      </c>
      <c r="C332" s="5" t="s">
        <v>864</v>
      </c>
      <c r="D332" s="4" t="s">
        <v>48</v>
      </c>
      <c r="E332" s="4" t="s">
        <v>819</v>
      </c>
      <c r="F332" s="30">
        <v>45599</v>
      </c>
      <c r="G332" s="19" t="s">
        <v>282</v>
      </c>
      <c r="H332" s="19" t="str">
        <f t="shared" ca="1" si="5"/>
        <v>1 Years, 7 Months, 0 Days</v>
      </c>
      <c r="I332" s="4" t="s">
        <v>865</v>
      </c>
      <c r="J332" s="4" t="s">
        <v>284</v>
      </c>
      <c r="K332" s="6">
        <v>1991907050</v>
      </c>
      <c r="L332" s="6" t="s">
        <v>42</v>
      </c>
      <c r="M332" s="9">
        <v>533137</v>
      </c>
      <c r="N332" s="4" t="s">
        <v>285</v>
      </c>
      <c r="O332" s="4" t="s">
        <v>286</v>
      </c>
      <c r="P332" s="4" t="s">
        <v>287</v>
      </c>
      <c r="Q332" s="3" t="s">
        <v>32</v>
      </c>
      <c r="R332" s="3" t="s">
        <v>33</v>
      </c>
      <c r="S332" s="4"/>
    </row>
    <row r="333" spans="1:19" ht="17.45">
      <c r="A333" s="3">
        <f>SUBTOTAL(103,$B$4:B333)</f>
        <v>330</v>
      </c>
      <c r="B333" s="8">
        <v>548517</v>
      </c>
      <c r="C333" s="5" t="s">
        <v>866</v>
      </c>
      <c r="D333" s="4" t="s">
        <v>35</v>
      </c>
      <c r="E333" s="4" t="s">
        <v>819</v>
      </c>
      <c r="F333" s="30">
        <v>45613</v>
      </c>
      <c r="G333" s="19" t="s">
        <v>282</v>
      </c>
      <c r="H333" s="19" t="str">
        <f t="shared" ca="1" si="5"/>
        <v>1 Years, 6 Months, 17 Days</v>
      </c>
      <c r="I333" s="4" t="s">
        <v>867</v>
      </c>
      <c r="J333" s="4" t="s">
        <v>284</v>
      </c>
      <c r="K333" s="6">
        <v>1601114147</v>
      </c>
      <c r="L333" s="6" t="s">
        <v>42</v>
      </c>
      <c r="M333" s="9">
        <v>533137</v>
      </c>
      <c r="N333" s="4" t="s">
        <v>285</v>
      </c>
      <c r="O333" s="4" t="s">
        <v>286</v>
      </c>
      <c r="P333" s="4" t="s">
        <v>287</v>
      </c>
      <c r="Q333" s="3" t="s">
        <v>32</v>
      </c>
      <c r="R333" s="3" t="s">
        <v>33</v>
      </c>
      <c r="S333" s="4"/>
    </row>
    <row r="334" spans="1:19" ht="17.45">
      <c r="A334" s="3">
        <f>SUBTOTAL(103,$B$4:B334)</f>
        <v>331</v>
      </c>
      <c r="B334" s="8">
        <v>555562</v>
      </c>
      <c r="C334" s="5" t="s">
        <v>868</v>
      </c>
      <c r="D334" s="4" t="s">
        <v>24</v>
      </c>
      <c r="E334" s="4" t="s">
        <v>819</v>
      </c>
      <c r="F334" s="30">
        <v>45875</v>
      </c>
      <c r="G334" s="19" t="s">
        <v>282</v>
      </c>
      <c r="H334" s="19" t="str">
        <f t="shared" ca="1" si="5"/>
        <v>0 Years, 9 Months, 28 Days</v>
      </c>
      <c r="I334" s="4" t="s">
        <v>869</v>
      </c>
      <c r="J334" s="4" t="s">
        <v>284</v>
      </c>
      <c r="K334" s="6">
        <v>1711997575</v>
      </c>
      <c r="L334" s="6" t="s">
        <v>42</v>
      </c>
      <c r="M334" s="9">
        <v>533137</v>
      </c>
      <c r="N334" s="4" t="s">
        <v>285</v>
      </c>
      <c r="O334" s="4" t="s">
        <v>286</v>
      </c>
      <c r="P334" s="4" t="s">
        <v>287</v>
      </c>
      <c r="Q334" s="3" t="s">
        <v>32</v>
      </c>
      <c r="R334" s="3" t="s">
        <v>33</v>
      </c>
      <c r="S334" s="4"/>
    </row>
    <row r="335" spans="1:19" ht="17.45">
      <c r="A335" s="3">
        <f>SUBTOTAL(103,$B$4:B335)</f>
        <v>332</v>
      </c>
      <c r="B335" s="8">
        <v>556510</v>
      </c>
      <c r="C335" s="5" t="s">
        <v>870</v>
      </c>
      <c r="D335" s="4" t="s">
        <v>48</v>
      </c>
      <c r="E335" s="4" t="s">
        <v>819</v>
      </c>
      <c r="F335" s="30">
        <v>45901</v>
      </c>
      <c r="G335" s="19" t="s">
        <v>871</v>
      </c>
      <c r="H335" s="19" t="str">
        <f t="shared" ca="1" si="5"/>
        <v>0 Years, 9 Months, 2 Days</v>
      </c>
      <c r="I335" s="4" t="s">
        <v>872</v>
      </c>
      <c r="J335" s="4" t="s">
        <v>284</v>
      </c>
      <c r="K335" s="6">
        <v>1521434014</v>
      </c>
      <c r="L335" s="6" t="s">
        <v>42</v>
      </c>
      <c r="M335" s="9">
        <v>533137</v>
      </c>
      <c r="N335" s="4" t="s">
        <v>285</v>
      </c>
      <c r="O335" s="4" t="s">
        <v>286</v>
      </c>
      <c r="P335" s="4" t="s">
        <v>287</v>
      </c>
      <c r="Q335" s="3" t="s">
        <v>32</v>
      </c>
      <c r="R335" s="3" t="s">
        <v>33</v>
      </c>
      <c r="S335" s="4"/>
    </row>
    <row r="336" spans="1:19" ht="17.45">
      <c r="A336" s="3">
        <f>SUBTOTAL(103,$B$4:B336)</f>
        <v>333</v>
      </c>
      <c r="B336" s="8">
        <v>556894</v>
      </c>
      <c r="C336" s="5" t="s">
        <v>873</v>
      </c>
      <c r="D336" s="4" t="s">
        <v>48</v>
      </c>
      <c r="E336" s="4" t="s">
        <v>819</v>
      </c>
      <c r="F336" s="30">
        <v>45910</v>
      </c>
      <c r="G336" s="19" t="s">
        <v>282</v>
      </c>
      <c r="H336" s="19" t="str">
        <f t="shared" ca="1" si="5"/>
        <v>0 Years, 8 Months, 24 Days</v>
      </c>
      <c r="I336" s="4" t="s">
        <v>874</v>
      </c>
      <c r="J336" s="4" t="s">
        <v>284</v>
      </c>
      <c r="K336" s="6">
        <v>1723018490</v>
      </c>
      <c r="L336" s="6" t="s">
        <v>42</v>
      </c>
      <c r="M336" s="9">
        <v>533137</v>
      </c>
      <c r="N336" s="4" t="s">
        <v>285</v>
      </c>
      <c r="O336" s="4" t="s">
        <v>286</v>
      </c>
      <c r="P336" s="4" t="s">
        <v>287</v>
      </c>
      <c r="Q336" s="3" t="s">
        <v>32</v>
      </c>
      <c r="R336" s="3" t="s">
        <v>33</v>
      </c>
      <c r="S336" s="4"/>
    </row>
    <row r="337" spans="1:19" ht="17.45">
      <c r="A337" s="3">
        <f>SUBTOTAL(103,$B$4:B337)</f>
        <v>334</v>
      </c>
      <c r="B337" s="8">
        <v>557888</v>
      </c>
      <c r="C337" s="5" t="s">
        <v>875</v>
      </c>
      <c r="D337" s="4" t="s">
        <v>250</v>
      </c>
      <c r="E337" s="4" t="s">
        <v>819</v>
      </c>
      <c r="F337" s="30">
        <v>45935</v>
      </c>
      <c r="G337" s="19" t="s">
        <v>282</v>
      </c>
      <c r="H337" s="19" t="str">
        <f t="shared" ca="1" si="5"/>
        <v>0 Years, 7 Months, 29 Days</v>
      </c>
      <c r="I337" s="4" t="s">
        <v>876</v>
      </c>
      <c r="J337" s="4" t="s">
        <v>284</v>
      </c>
      <c r="K337" s="6">
        <v>1743014077</v>
      </c>
      <c r="L337" s="6" t="s">
        <v>42</v>
      </c>
      <c r="M337" s="9">
        <v>533137</v>
      </c>
      <c r="N337" s="4" t="s">
        <v>285</v>
      </c>
      <c r="O337" s="4" t="s">
        <v>286</v>
      </c>
      <c r="P337" s="4" t="s">
        <v>287</v>
      </c>
      <c r="Q337" s="3" t="s">
        <v>32</v>
      </c>
      <c r="R337" s="3" t="s">
        <v>33</v>
      </c>
      <c r="S337" s="4"/>
    </row>
    <row r="338" spans="1:19" ht="17.45">
      <c r="A338" s="3">
        <f>SUBTOTAL(103,$B$4:B338)</f>
        <v>335</v>
      </c>
      <c r="B338" s="8">
        <v>558281</v>
      </c>
      <c r="C338" s="5" t="s">
        <v>877</v>
      </c>
      <c r="D338" s="4" t="s">
        <v>24</v>
      </c>
      <c r="E338" s="4" t="s">
        <v>819</v>
      </c>
      <c r="F338" s="30">
        <v>45945</v>
      </c>
      <c r="G338" s="19" t="s">
        <v>282</v>
      </c>
      <c r="H338" s="19" t="str">
        <f t="shared" ca="1" si="5"/>
        <v>0 Years, 7 Months, 19 Days</v>
      </c>
      <c r="I338" s="4" t="s">
        <v>878</v>
      </c>
      <c r="J338" s="4" t="s">
        <v>284</v>
      </c>
      <c r="K338" s="6">
        <v>1721539602</v>
      </c>
      <c r="L338" s="6" t="s">
        <v>42</v>
      </c>
      <c r="M338" s="9">
        <v>533137</v>
      </c>
      <c r="N338" s="4" t="s">
        <v>285</v>
      </c>
      <c r="O338" s="4" t="s">
        <v>286</v>
      </c>
      <c r="P338" s="4" t="s">
        <v>287</v>
      </c>
      <c r="Q338" s="3" t="s">
        <v>32</v>
      </c>
      <c r="R338" s="3" t="s">
        <v>33</v>
      </c>
      <c r="S338" s="4"/>
    </row>
    <row r="339" spans="1:19" ht="17.45">
      <c r="A339" s="3">
        <f>SUBTOTAL(103,$B$4:B339)</f>
        <v>336</v>
      </c>
      <c r="B339" s="8">
        <v>562991</v>
      </c>
      <c r="C339" s="5" t="s">
        <v>879</v>
      </c>
      <c r="D339" s="4" t="s">
        <v>61</v>
      </c>
      <c r="E339" s="4" t="s">
        <v>819</v>
      </c>
      <c r="F339" s="30">
        <v>46082</v>
      </c>
      <c r="G339" s="19" t="s">
        <v>26</v>
      </c>
      <c r="H339" s="19" t="str">
        <f t="shared" ca="1" si="5"/>
        <v>0 Years, 3 Months, 2 Days</v>
      </c>
      <c r="I339" s="4" t="s">
        <v>880</v>
      </c>
      <c r="J339" s="4" t="s">
        <v>28</v>
      </c>
      <c r="K339" s="6" t="s">
        <v>881</v>
      </c>
      <c r="L339" s="6"/>
      <c r="M339" s="9">
        <v>533137</v>
      </c>
      <c r="N339" s="4" t="s">
        <v>285</v>
      </c>
      <c r="O339" s="4" t="s">
        <v>286</v>
      </c>
      <c r="P339" s="4" t="s">
        <v>287</v>
      </c>
      <c r="Q339" s="3" t="s">
        <v>32</v>
      </c>
      <c r="R339" s="3" t="s">
        <v>33</v>
      </c>
      <c r="S339" s="4"/>
    </row>
    <row r="340" spans="1:19" ht="17.45">
      <c r="A340" s="3">
        <f>SUBTOTAL(103,$B$4:B340)</f>
        <v>337</v>
      </c>
      <c r="B340" s="8">
        <v>562922</v>
      </c>
      <c r="C340" s="5" t="s">
        <v>882</v>
      </c>
      <c r="D340" s="4" t="s">
        <v>38</v>
      </c>
      <c r="E340" s="4" t="s">
        <v>819</v>
      </c>
      <c r="F340" s="30">
        <v>46079</v>
      </c>
      <c r="G340" s="19" t="s">
        <v>282</v>
      </c>
      <c r="H340" s="19" t="str">
        <f t="shared" ca="1" si="5"/>
        <v>0 Years, 3 Months, 8 Days</v>
      </c>
      <c r="I340" s="4" t="s">
        <v>883</v>
      </c>
      <c r="J340" s="4" t="s">
        <v>284</v>
      </c>
      <c r="K340" s="6" t="s">
        <v>884</v>
      </c>
      <c r="L340" s="6"/>
      <c r="M340" s="9">
        <v>533137</v>
      </c>
      <c r="N340" s="4" t="s">
        <v>285</v>
      </c>
      <c r="O340" s="4" t="s">
        <v>286</v>
      </c>
      <c r="P340" s="4" t="s">
        <v>287</v>
      </c>
      <c r="Q340" s="3" t="s">
        <v>32</v>
      </c>
      <c r="R340" s="3" t="s">
        <v>33</v>
      </c>
      <c r="S340" s="4"/>
    </row>
    <row r="341" spans="1:19" ht="17.45">
      <c r="A341" s="3">
        <f>SUBTOTAL(103,$B$4:B341)</f>
        <v>338</v>
      </c>
      <c r="B341" s="8">
        <v>525406</v>
      </c>
      <c r="C341" s="5" t="s">
        <v>885</v>
      </c>
      <c r="D341" s="4" t="s">
        <v>35</v>
      </c>
      <c r="E341" s="4" t="s">
        <v>819</v>
      </c>
      <c r="F341" s="30">
        <v>44594</v>
      </c>
      <c r="G341" s="19" t="s">
        <v>282</v>
      </c>
      <c r="H341" s="19" t="str">
        <f t="shared" ca="1" si="5"/>
        <v>4 Years, 4 Months, 1 Days</v>
      </c>
      <c r="I341" s="4" t="s">
        <v>886</v>
      </c>
      <c r="J341" s="4" t="s">
        <v>284</v>
      </c>
      <c r="K341" s="6">
        <v>1743218126</v>
      </c>
      <c r="L341" s="6" t="s">
        <v>42</v>
      </c>
      <c r="M341" s="9">
        <v>533831</v>
      </c>
      <c r="N341" s="4" t="s">
        <v>856</v>
      </c>
      <c r="O341" s="4" t="s">
        <v>61</v>
      </c>
      <c r="P341" s="4" t="s">
        <v>857</v>
      </c>
      <c r="Q341" s="3" t="s">
        <v>32</v>
      </c>
      <c r="R341" s="3" t="s">
        <v>33</v>
      </c>
      <c r="S341" s="4"/>
    </row>
    <row r="342" spans="1:19" ht="17.45">
      <c r="A342" s="3">
        <f>SUBTOTAL(103,$B$4:B342)</f>
        <v>339</v>
      </c>
      <c r="B342" s="8">
        <v>537231</v>
      </c>
      <c r="C342" s="5" t="s">
        <v>887</v>
      </c>
      <c r="D342" s="4" t="s">
        <v>48</v>
      </c>
      <c r="E342" s="4" t="s">
        <v>819</v>
      </c>
      <c r="F342" s="30">
        <v>45078</v>
      </c>
      <c r="G342" s="19" t="s">
        <v>282</v>
      </c>
      <c r="H342" s="19" t="str">
        <f t="shared" ca="1" si="5"/>
        <v>3 Years, 0 Months, 2 Days</v>
      </c>
      <c r="I342" s="4" t="s">
        <v>888</v>
      </c>
      <c r="J342" s="4" t="s">
        <v>284</v>
      </c>
      <c r="K342" s="6">
        <v>1733772851</v>
      </c>
      <c r="L342" s="6">
        <v>1324762457</v>
      </c>
      <c r="M342" s="9">
        <v>533831</v>
      </c>
      <c r="N342" s="4" t="s">
        <v>856</v>
      </c>
      <c r="O342" s="4" t="s">
        <v>61</v>
      </c>
      <c r="P342" s="4" t="s">
        <v>857</v>
      </c>
      <c r="Q342" s="3" t="s">
        <v>32</v>
      </c>
      <c r="R342" s="3" t="s">
        <v>33</v>
      </c>
      <c r="S342" s="4"/>
    </row>
    <row r="343" spans="1:19" ht="17.45">
      <c r="A343" s="3">
        <f>SUBTOTAL(103,$B$4:B343)</f>
        <v>340</v>
      </c>
      <c r="B343" s="8">
        <v>537232</v>
      </c>
      <c r="C343" s="5" t="s">
        <v>889</v>
      </c>
      <c r="D343" s="4" t="s">
        <v>48</v>
      </c>
      <c r="E343" s="4" t="s">
        <v>819</v>
      </c>
      <c r="F343" s="30">
        <v>45078</v>
      </c>
      <c r="G343" s="19" t="s">
        <v>282</v>
      </c>
      <c r="H343" s="19" t="str">
        <f t="shared" ca="1" si="5"/>
        <v>3 Years, 0 Months, 2 Days</v>
      </c>
      <c r="I343" s="4" t="s">
        <v>890</v>
      </c>
      <c r="J343" s="4" t="s">
        <v>284</v>
      </c>
      <c r="K343" s="6">
        <v>1715733452</v>
      </c>
      <c r="L343" s="6">
        <v>1324762458</v>
      </c>
      <c r="M343" s="9">
        <v>533831</v>
      </c>
      <c r="N343" s="4" t="s">
        <v>856</v>
      </c>
      <c r="O343" s="4" t="s">
        <v>61</v>
      </c>
      <c r="P343" s="4" t="s">
        <v>857</v>
      </c>
      <c r="Q343" s="3" t="s">
        <v>32</v>
      </c>
      <c r="R343" s="3" t="s">
        <v>33</v>
      </c>
      <c r="S343" s="4"/>
    </row>
    <row r="344" spans="1:19" ht="17.45">
      <c r="A344" s="3">
        <f>SUBTOTAL(103,$B$4:B344)</f>
        <v>341</v>
      </c>
      <c r="B344" s="8">
        <v>540668</v>
      </c>
      <c r="C344" s="5" t="s">
        <v>891</v>
      </c>
      <c r="D344" s="4" t="s">
        <v>48</v>
      </c>
      <c r="E344" s="4" t="s">
        <v>819</v>
      </c>
      <c r="F344" s="30">
        <v>45292</v>
      </c>
      <c r="G344" s="19" t="s">
        <v>282</v>
      </c>
      <c r="H344" s="19" t="str">
        <f t="shared" ca="1" si="5"/>
        <v>2 Years, 5 Months, 2 Days</v>
      </c>
      <c r="I344" s="4" t="s">
        <v>892</v>
      </c>
      <c r="J344" s="4" t="s">
        <v>284</v>
      </c>
      <c r="K344" s="6">
        <v>1744677768</v>
      </c>
      <c r="L344" s="6" t="s">
        <v>42</v>
      </c>
      <c r="M344" s="9">
        <v>533831</v>
      </c>
      <c r="N344" s="4" t="s">
        <v>856</v>
      </c>
      <c r="O344" s="4" t="s">
        <v>61</v>
      </c>
      <c r="P344" s="4" t="s">
        <v>857</v>
      </c>
      <c r="Q344" s="3" t="s">
        <v>32</v>
      </c>
      <c r="R344" s="3" t="s">
        <v>33</v>
      </c>
      <c r="S344" s="4"/>
    </row>
    <row r="345" spans="1:19" ht="17.45">
      <c r="A345" s="3">
        <f>SUBTOTAL(103,$B$4:B345)</f>
        <v>342</v>
      </c>
      <c r="B345" s="8">
        <v>543495</v>
      </c>
      <c r="C345" s="5" t="s">
        <v>893</v>
      </c>
      <c r="D345" s="4" t="s">
        <v>35</v>
      </c>
      <c r="E345" s="4" t="s">
        <v>819</v>
      </c>
      <c r="F345" s="30">
        <v>45432</v>
      </c>
      <c r="G345" s="19" t="s">
        <v>282</v>
      </c>
      <c r="H345" s="19" t="str">
        <f t="shared" ca="1" si="5"/>
        <v>2 Years, 0 Months, 14 Days</v>
      </c>
      <c r="I345" s="4" t="s">
        <v>894</v>
      </c>
      <c r="J345" s="4" t="s">
        <v>284</v>
      </c>
      <c r="K345" s="6">
        <v>1720480884</v>
      </c>
      <c r="L345" s="6">
        <v>1334762351</v>
      </c>
      <c r="M345" s="9">
        <v>533831</v>
      </c>
      <c r="N345" s="4" t="s">
        <v>856</v>
      </c>
      <c r="O345" s="4" t="s">
        <v>61</v>
      </c>
      <c r="P345" s="4" t="s">
        <v>857</v>
      </c>
      <c r="Q345" s="3" t="s">
        <v>32</v>
      </c>
      <c r="R345" s="3" t="s">
        <v>33</v>
      </c>
      <c r="S345" s="4"/>
    </row>
    <row r="346" spans="1:19" ht="17.45">
      <c r="A346" s="3">
        <f>SUBTOTAL(103,$B$4:B346)</f>
        <v>343</v>
      </c>
      <c r="B346" s="8">
        <v>543914</v>
      </c>
      <c r="C346" s="5" t="s">
        <v>895</v>
      </c>
      <c r="D346" s="4" t="s">
        <v>48</v>
      </c>
      <c r="E346" s="4" t="s">
        <v>819</v>
      </c>
      <c r="F346" s="30">
        <v>45469</v>
      </c>
      <c r="G346" s="19" t="s">
        <v>282</v>
      </c>
      <c r="H346" s="19" t="str">
        <f t="shared" ca="1" si="5"/>
        <v>1 Years, 11 Months, 8 Days</v>
      </c>
      <c r="I346" s="4" t="s">
        <v>896</v>
      </c>
      <c r="J346" s="4" t="s">
        <v>284</v>
      </c>
      <c r="K346" s="6">
        <v>1625930011</v>
      </c>
      <c r="L346" s="6" t="s">
        <v>42</v>
      </c>
      <c r="M346" s="9">
        <v>533831</v>
      </c>
      <c r="N346" s="4" t="s">
        <v>856</v>
      </c>
      <c r="O346" s="4" t="s">
        <v>61</v>
      </c>
      <c r="P346" s="4" t="s">
        <v>857</v>
      </c>
      <c r="Q346" s="3" t="s">
        <v>32</v>
      </c>
      <c r="R346" s="3" t="s">
        <v>33</v>
      </c>
      <c r="S346" s="4"/>
    </row>
    <row r="347" spans="1:19" ht="17.45">
      <c r="A347" s="3">
        <f>SUBTOTAL(103,$B$4:B347)</f>
        <v>344</v>
      </c>
      <c r="B347" s="8">
        <v>548124</v>
      </c>
      <c r="C347" s="5" t="s">
        <v>897</v>
      </c>
      <c r="D347" s="4" t="s">
        <v>48</v>
      </c>
      <c r="E347" s="4" t="s">
        <v>819</v>
      </c>
      <c r="F347" s="30">
        <v>45599</v>
      </c>
      <c r="G347" s="19" t="s">
        <v>282</v>
      </c>
      <c r="H347" s="19" t="str">
        <f t="shared" ca="1" si="5"/>
        <v>1 Years, 7 Months, 0 Days</v>
      </c>
      <c r="I347" s="4" t="s">
        <v>898</v>
      </c>
      <c r="J347" s="4" t="s">
        <v>284</v>
      </c>
      <c r="K347" s="6">
        <v>1608525108</v>
      </c>
      <c r="L347" s="6" t="s">
        <v>42</v>
      </c>
      <c r="M347" s="9">
        <v>533831</v>
      </c>
      <c r="N347" s="4" t="s">
        <v>856</v>
      </c>
      <c r="O347" s="4" t="s">
        <v>61</v>
      </c>
      <c r="P347" s="4" t="s">
        <v>857</v>
      </c>
      <c r="Q347" s="3" t="s">
        <v>32</v>
      </c>
      <c r="R347" s="3" t="s">
        <v>33</v>
      </c>
      <c r="S347" s="4"/>
    </row>
    <row r="348" spans="1:19" ht="17.45">
      <c r="A348" s="3">
        <f>SUBTOTAL(103,$B$4:B348)</f>
        <v>345</v>
      </c>
      <c r="B348" s="8">
        <v>549445</v>
      </c>
      <c r="C348" s="5" t="s">
        <v>899</v>
      </c>
      <c r="D348" s="4" t="s">
        <v>48</v>
      </c>
      <c r="E348" s="4" t="s">
        <v>819</v>
      </c>
      <c r="F348" s="30">
        <v>45651</v>
      </c>
      <c r="G348" s="19" t="s">
        <v>282</v>
      </c>
      <c r="H348" s="19" t="str">
        <f t="shared" ca="1" si="5"/>
        <v>1 Years, 5 Months, 9 Days</v>
      </c>
      <c r="I348" s="4" t="s">
        <v>900</v>
      </c>
      <c r="J348" s="4" t="s">
        <v>284</v>
      </c>
      <c r="K348" s="6">
        <v>1641633462</v>
      </c>
      <c r="L348" s="6" t="s">
        <v>42</v>
      </c>
      <c r="M348" s="9">
        <v>533831</v>
      </c>
      <c r="N348" s="4" t="s">
        <v>856</v>
      </c>
      <c r="O348" s="4" t="s">
        <v>61</v>
      </c>
      <c r="P348" s="4" t="s">
        <v>857</v>
      </c>
      <c r="Q348" s="3" t="s">
        <v>32</v>
      </c>
      <c r="R348" s="3" t="s">
        <v>33</v>
      </c>
      <c r="S348" s="4"/>
    </row>
    <row r="349" spans="1:19" ht="17.45">
      <c r="A349" s="3">
        <f>SUBTOTAL(103,$B$4:B349)</f>
        <v>346</v>
      </c>
      <c r="B349" s="8">
        <v>549964</v>
      </c>
      <c r="C349" s="5" t="s">
        <v>901</v>
      </c>
      <c r="D349" s="4" t="s">
        <v>48</v>
      </c>
      <c r="E349" s="4" t="s">
        <v>819</v>
      </c>
      <c r="F349" s="30">
        <v>45669</v>
      </c>
      <c r="G349" s="19" t="s">
        <v>282</v>
      </c>
      <c r="H349" s="19" t="str">
        <f t="shared" ca="1" si="5"/>
        <v>1 Years, 4 Months, 22 Days</v>
      </c>
      <c r="I349" s="4" t="s">
        <v>902</v>
      </c>
      <c r="J349" s="4" t="s">
        <v>284</v>
      </c>
      <c r="K349" s="6">
        <v>1721142653</v>
      </c>
      <c r="L349" s="6" t="s">
        <v>42</v>
      </c>
      <c r="M349" s="9">
        <v>533831</v>
      </c>
      <c r="N349" s="4" t="s">
        <v>856</v>
      </c>
      <c r="O349" s="4" t="s">
        <v>61</v>
      </c>
      <c r="P349" s="4" t="s">
        <v>857</v>
      </c>
      <c r="Q349" s="3" t="s">
        <v>32</v>
      </c>
      <c r="R349" s="3" t="s">
        <v>33</v>
      </c>
      <c r="S349" s="4"/>
    </row>
    <row r="350" spans="1:19" ht="17.45">
      <c r="A350" s="3">
        <f>SUBTOTAL(103,$B$4:B350)</f>
        <v>347</v>
      </c>
      <c r="B350" s="8">
        <v>550512</v>
      </c>
      <c r="C350" s="5" t="s">
        <v>903</v>
      </c>
      <c r="D350" s="4" t="s">
        <v>48</v>
      </c>
      <c r="E350" s="4" t="s">
        <v>819</v>
      </c>
      <c r="F350" s="30">
        <v>45690</v>
      </c>
      <c r="G350" s="19" t="s">
        <v>282</v>
      </c>
      <c r="H350" s="19" t="str">
        <f t="shared" ca="1" si="5"/>
        <v>1 Years, 4 Months, 1 Days</v>
      </c>
      <c r="I350" s="4" t="s">
        <v>904</v>
      </c>
      <c r="J350" s="4" t="s">
        <v>284</v>
      </c>
      <c r="K350" s="6">
        <v>1797341164</v>
      </c>
      <c r="L350" s="6" t="s">
        <v>42</v>
      </c>
      <c r="M350" s="9">
        <v>533831</v>
      </c>
      <c r="N350" s="4" t="s">
        <v>856</v>
      </c>
      <c r="O350" s="4" t="s">
        <v>61</v>
      </c>
      <c r="P350" s="4" t="s">
        <v>857</v>
      </c>
      <c r="Q350" s="3" t="s">
        <v>32</v>
      </c>
      <c r="R350" s="3" t="s">
        <v>33</v>
      </c>
      <c r="S350" s="4"/>
    </row>
    <row r="351" spans="1:19" ht="17.45">
      <c r="A351" s="3">
        <f>SUBTOTAL(103,$B$4:B351)</f>
        <v>348</v>
      </c>
      <c r="B351" s="8">
        <v>551658</v>
      </c>
      <c r="C351" s="5" t="s">
        <v>905</v>
      </c>
      <c r="D351" s="4" t="s">
        <v>48</v>
      </c>
      <c r="E351" s="4" t="s">
        <v>819</v>
      </c>
      <c r="F351" s="30">
        <v>45727</v>
      </c>
      <c r="G351" s="19" t="s">
        <v>282</v>
      </c>
      <c r="H351" s="19" t="str">
        <f t="shared" ca="1" si="5"/>
        <v>1 Years, 2 Months, 23 Days</v>
      </c>
      <c r="I351" s="4" t="s">
        <v>906</v>
      </c>
      <c r="J351" s="4" t="s">
        <v>284</v>
      </c>
      <c r="K351" s="6">
        <v>1798786970</v>
      </c>
      <c r="L351" s="6" t="s">
        <v>42</v>
      </c>
      <c r="M351" s="9">
        <v>533831</v>
      </c>
      <c r="N351" s="4" t="s">
        <v>856</v>
      </c>
      <c r="O351" s="4" t="s">
        <v>61</v>
      </c>
      <c r="P351" s="4" t="s">
        <v>857</v>
      </c>
      <c r="Q351" s="3" t="s">
        <v>32</v>
      </c>
      <c r="R351" s="3" t="s">
        <v>33</v>
      </c>
      <c r="S351" s="4"/>
    </row>
    <row r="352" spans="1:19" ht="17.45">
      <c r="A352" s="3">
        <f>SUBTOTAL(103,$B$4:B352)</f>
        <v>349</v>
      </c>
      <c r="B352" s="8">
        <v>552432</v>
      </c>
      <c r="C352" s="5" t="s">
        <v>907</v>
      </c>
      <c r="D352" s="4" t="s">
        <v>48</v>
      </c>
      <c r="E352" s="4" t="s">
        <v>819</v>
      </c>
      <c r="F352" s="30">
        <v>45769</v>
      </c>
      <c r="G352" s="19" t="s">
        <v>826</v>
      </c>
      <c r="H352" s="19" t="str">
        <f t="shared" ca="1" si="5"/>
        <v>1 Years, 1 Months, 12 Days</v>
      </c>
      <c r="I352" s="4" t="s">
        <v>908</v>
      </c>
      <c r="J352" s="4" t="s">
        <v>284</v>
      </c>
      <c r="K352" s="6">
        <v>1748397858</v>
      </c>
      <c r="L352" s="6" t="s">
        <v>42</v>
      </c>
      <c r="M352" s="9">
        <v>533831</v>
      </c>
      <c r="N352" s="4" t="s">
        <v>856</v>
      </c>
      <c r="O352" s="4" t="s">
        <v>61</v>
      </c>
      <c r="P352" s="4" t="s">
        <v>857</v>
      </c>
      <c r="Q352" s="3" t="s">
        <v>32</v>
      </c>
      <c r="R352" s="3" t="s">
        <v>33</v>
      </c>
      <c r="S352" s="4"/>
    </row>
    <row r="353" spans="1:19" ht="17.45">
      <c r="A353" s="3">
        <f>SUBTOTAL(103,$B$4:B353)</f>
        <v>350</v>
      </c>
      <c r="B353" s="8">
        <v>553834</v>
      </c>
      <c r="C353" s="5" t="s">
        <v>909</v>
      </c>
      <c r="D353" s="4" t="s">
        <v>48</v>
      </c>
      <c r="E353" s="4" t="s">
        <v>819</v>
      </c>
      <c r="F353" s="30">
        <v>45809</v>
      </c>
      <c r="G353" s="19" t="s">
        <v>826</v>
      </c>
      <c r="H353" s="19" t="str">
        <f t="shared" ca="1" si="5"/>
        <v>1 Years, 0 Months, 2 Days</v>
      </c>
      <c r="I353" s="4" t="s">
        <v>910</v>
      </c>
      <c r="J353" s="4" t="s">
        <v>284</v>
      </c>
      <c r="K353" s="6">
        <v>1865657902</v>
      </c>
      <c r="L353" s="6" t="s">
        <v>42</v>
      </c>
      <c r="M353" s="9">
        <v>533831</v>
      </c>
      <c r="N353" s="4" t="s">
        <v>856</v>
      </c>
      <c r="O353" s="4" t="s">
        <v>61</v>
      </c>
      <c r="P353" s="4" t="s">
        <v>857</v>
      </c>
      <c r="Q353" s="3" t="s">
        <v>32</v>
      </c>
      <c r="R353" s="3" t="s">
        <v>33</v>
      </c>
      <c r="S353" s="4"/>
    </row>
    <row r="354" spans="1:19" ht="17.45">
      <c r="A354" s="3">
        <f>SUBTOTAL(103,$B$4:B354)</f>
        <v>351</v>
      </c>
      <c r="B354" s="8">
        <v>553835</v>
      </c>
      <c r="C354" s="5" t="s">
        <v>911</v>
      </c>
      <c r="D354" s="4" t="s">
        <v>48</v>
      </c>
      <c r="E354" s="4" t="s">
        <v>819</v>
      </c>
      <c r="F354" s="30">
        <v>45809</v>
      </c>
      <c r="G354" s="19" t="s">
        <v>282</v>
      </c>
      <c r="H354" s="19" t="str">
        <f t="shared" ca="1" si="5"/>
        <v>1 Years, 0 Months, 2 Days</v>
      </c>
      <c r="I354" s="4" t="s">
        <v>912</v>
      </c>
      <c r="J354" s="4" t="s">
        <v>284</v>
      </c>
      <c r="K354" s="6">
        <v>1779622955</v>
      </c>
      <c r="L354" s="6" t="s">
        <v>42</v>
      </c>
      <c r="M354" s="9">
        <v>533831</v>
      </c>
      <c r="N354" s="4" t="s">
        <v>856</v>
      </c>
      <c r="O354" s="4" t="s">
        <v>61</v>
      </c>
      <c r="P354" s="4" t="s">
        <v>857</v>
      </c>
      <c r="Q354" s="3" t="s">
        <v>32</v>
      </c>
      <c r="R354" s="3" t="s">
        <v>33</v>
      </c>
      <c r="S354" s="4"/>
    </row>
    <row r="355" spans="1:19" ht="17.45">
      <c r="A355" s="3">
        <f>SUBTOTAL(103,$B$4:B355)</f>
        <v>352</v>
      </c>
      <c r="B355" s="8">
        <v>553837</v>
      </c>
      <c r="C355" s="5" t="s">
        <v>913</v>
      </c>
      <c r="D355" s="4" t="s">
        <v>48</v>
      </c>
      <c r="E355" s="4" t="s">
        <v>819</v>
      </c>
      <c r="F355" s="30">
        <v>45809</v>
      </c>
      <c r="G355" s="19" t="s">
        <v>282</v>
      </c>
      <c r="H355" s="19" t="str">
        <f t="shared" ca="1" si="5"/>
        <v>1 Years, 0 Months, 2 Days</v>
      </c>
      <c r="I355" s="4" t="s">
        <v>914</v>
      </c>
      <c r="J355" s="4" t="s">
        <v>284</v>
      </c>
      <c r="K355" s="6">
        <v>1677838775</v>
      </c>
      <c r="L355" s="6" t="s">
        <v>42</v>
      </c>
      <c r="M355" s="9">
        <v>533831</v>
      </c>
      <c r="N355" s="4" t="s">
        <v>856</v>
      </c>
      <c r="O355" s="4" t="s">
        <v>61</v>
      </c>
      <c r="P355" s="4" t="s">
        <v>857</v>
      </c>
      <c r="Q355" s="3" t="s">
        <v>32</v>
      </c>
      <c r="R355" s="3" t="s">
        <v>33</v>
      </c>
      <c r="S355" s="4"/>
    </row>
    <row r="356" spans="1:19" ht="17.45">
      <c r="A356" s="3">
        <f>SUBTOTAL(103,$B$4:B356)</f>
        <v>353</v>
      </c>
      <c r="B356" s="8">
        <v>553992</v>
      </c>
      <c r="C356" s="5" t="s">
        <v>915</v>
      </c>
      <c r="D356" s="4" t="s">
        <v>48</v>
      </c>
      <c r="E356" s="4" t="s">
        <v>819</v>
      </c>
      <c r="F356" s="30">
        <v>45824</v>
      </c>
      <c r="G356" s="19" t="s">
        <v>282</v>
      </c>
      <c r="H356" s="19" t="str">
        <f t="shared" ca="1" si="5"/>
        <v>0 Years, 11 Months, 18 Days</v>
      </c>
      <c r="I356" s="4" t="s">
        <v>916</v>
      </c>
      <c r="J356" s="4" t="s">
        <v>284</v>
      </c>
      <c r="K356" s="6">
        <v>1836808931</v>
      </c>
      <c r="L356" s="6" t="s">
        <v>42</v>
      </c>
      <c r="M356" s="9">
        <v>533831</v>
      </c>
      <c r="N356" s="4" t="s">
        <v>856</v>
      </c>
      <c r="O356" s="4" t="s">
        <v>61</v>
      </c>
      <c r="P356" s="4" t="s">
        <v>857</v>
      </c>
      <c r="Q356" s="3" t="s">
        <v>32</v>
      </c>
      <c r="R356" s="3" t="s">
        <v>33</v>
      </c>
      <c r="S356" s="4"/>
    </row>
    <row r="357" spans="1:19" ht="17.45">
      <c r="A357" s="3">
        <f>SUBTOTAL(103,$B$4:B357)</f>
        <v>354</v>
      </c>
      <c r="B357" s="8">
        <v>553993</v>
      </c>
      <c r="C357" s="5" t="s">
        <v>917</v>
      </c>
      <c r="D357" s="4" t="s">
        <v>48</v>
      </c>
      <c r="E357" s="4" t="s">
        <v>819</v>
      </c>
      <c r="F357" s="30">
        <v>45824</v>
      </c>
      <c r="G357" s="19" t="s">
        <v>282</v>
      </c>
      <c r="H357" s="19" t="str">
        <f t="shared" ca="1" si="5"/>
        <v>0 Years, 11 Months, 18 Days</v>
      </c>
      <c r="I357" s="4" t="s">
        <v>918</v>
      </c>
      <c r="J357" s="4" t="s">
        <v>284</v>
      </c>
      <c r="K357" s="6">
        <v>1704801170</v>
      </c>
      <c r="L357" s="6" t="s">
        <v>42</v>
      </c>
      <c r="M357" s="9">
        <v>533831</v>
      </c>
      <c r="N357" s="4" t="s">
        <v>856</v>
      </c>
      <c r="O357" s="4" t="s">
        <v>61</v>
      </c>
      <c r="P357" s="4" t="s">
        <v>857</v>
      </c>
      <c r="Q357" s="3" t="s">
        <v>32</v>
      </c>
      <c r="R357" s="3" t="s">
        <v>33</v>
      </c>
      <c r="S357" s="4"/>
    </row>
    <row r="358" spans="1:19" ht="17.45">
      <c r="A358" s="3">
        <f>SUBTOTAL(103,$B$4:B358)</f>
        <v>355</v>
      </c>
      <c r="B358" s="8">
        <v>554761</v>
      </c>
      <c r="C358" s="5" t="s">
        <v>919</v>
      </c>
      <c r="D358" s="4" t="s">
        <v>48</v>
      </c>
      <c r="E358" s="4" t="s">
        <v>819</v>
      </c>
      <c r="F358" s="30">
        <v>45846</v>
      </c>
      <c r="G358" s="19" t="s">
        <v>282</v>
      </c>
      <c r="H358" s="19" t="str">
        <f t="shared" ca="1" si="5"/>
        <v>0 Years, 10 Months, 26 Days</v>
      </c>
      <c r="I358" s="4" t="s">
        <v>920</v>
      </c>
      <c r="J358" s="4" t="s">
        <v>284</v>
      </c>
      <c r="K358" s="6">
        <v>1710073692</v>
      </c>
      <c r="L358" s="6" t="s">
        <v>42</v>
      </c>
      <c r="M358" s="9">
        <v>533831</v>
      </c>
      <c r="N358" s="4" t="s">
        <v>856</v>
      </c>
      <c r="O358" s="4" t="s">
        <v>61</v>
      </c>
      <c r="P358" s="4" t="s">
        <v>857</v>
      </c>
      <c r="Q358" s="3" t="s">
        <v>32</v>
      </c>
      <c r="R358" s="3" t="s">
        <v>33</v>
      </c>
      <c r="S358" s="4"/>
    </row>
    <row r="359" spans="1:19" ht="17.45">
      <c r="A359" s="3">
        <f>SUBTOTAL(103,$B$4:B359)</f>
        <v>356</v>
      </c>
      <c r="B359" s="8">
        <v>556511</v>
      </c>
      <c r="C359" s="5" t="s">
        <v>921</v>
      </c>
      <c r="D359" s="4" t="s">
        <v>35</v>
      </c>
      <c r="E359" s="4" t="s">
        <v>819</v>
      </c>
      <c r="F359" s="30">
        <v>45901</v>
      </c>
      <c r="G359" s="19" t="s">
        <v>282</v>
      </c>
      <c r="H359" s="19" t="str">
        <f t="shared" ca="1" si="5"/>
        <v>0 Years, 9 Months, 2 Days</v>
      </c>
      <c r="I359" s="4" t="s">
        <v>922</v>
      </c>
      <c r="J359" s="4" t="s">
        <v>284</v>
      </c>
      <c r="K359" s="6">
        <v>1521412218</v>
      </c>
      <c r="L359" s="6" t="s">
        <v>42</v>
      </c>
      <c r="M359" s="9">
        <v>533831</v>
      </c>
      <c r="N359" s="4" t="s">
        <v>856</v>
      </c>
      <c r="O359" s="4" t="s">
        <v>61</v>
      </c>
      <c r="P359" s="4" t="s">
        <v>857</v>
      </c>
      <c r="Q359" s="3" t="s">
        <v>32</v>
      </c>
      <c r="R359" s="3" t="s">
        <v>33</v>
      </c>
      <c r="S359" s="4"/>
    </row>
    <row r="360" spans="1:19" ht="17.45">
      <c r="A360" s="3">
        <f>SUBTOTAL(103,$B$4:B360)</f>
        <v>357</v>
      </c>
      <c r="B360" s="8">
        <v>559717</v>
      </c>
      <c r="C360" s="5" t="s">
        <v>923</v>
      </c>
      <c r="D360" s="4" t="s">
        <v>48</v>
      </c>
      <c r="E360" s="4" t="s">
        <v>819</v>
      </c>
      <c r="F360" s="30">
        <v>45987</v>
      </c>
      <c r="G360" s="19" t="s">
        <v>282</v>
      </c>
      <c r="H360" s="19" t="str">
        <f t="shared" ca="1" si="5"/>
        <v>0 Years, 6 Months, 8 Days</v>
      </c>
      <c r="I360" s="4" t="s">
        <v>924</v>
      </c>
      <c r="J360" s="4" t="s">
        <v>284</v>
      </c>
      <c r="K360" s="6">
        <v>1402677072</v>
      </c>
      <c r="L360" s="6" t="s">
        <v>42</v>
      </c>
      <c r="M360" s="9">
        <v>533831</v>
      </c>
      <c r="N360" s="4" t="s">
        <v>856</v>
      </c>
      <c r="O360" s="4" t="s">
        <v>61</v>
      </c>
      <c r="P360" s="4" t="s">
        <v>857</v>
      </c>
      <c r="Q360" s="3" t="s">
        <v>32</v>
      </c>
      <c r="R360" s="3" t="s">
        <v>33</v>
      </c>
      <c r="S360" s="4"/>
    </row>
    <row r="361" spans="1:19" ht="17.45">
      <c r="A361" s="3">
        <f>SUBTOTAL(103,$B$4:B361)</f>
        <v>358</v>
      </c>
      <c r="B361" s="8">
        <v>561835</v>
      </c>
      <c r="C361" s="5" t="s">
        <v>925</v>
      </c>
      <c r="D361" s="4" t="s">
        <v>48</v>
      </c>
      <c r="E361" s="4" t="s">
        <v>819</v>
      </c>
      <c r="F361" s="30">
        <v>46048</v>
      </c>
      <c r="G361" s="19" t="s">
        <v>282</v>
      </c>
      <c r="H361" s="19" t="str">
        <f t="shared" ca="1" si="5"/>
        <v>0 Years, 4 Months, 8 Days</v>
      </c>
      <c r="I361" s="16" t="s">
        <v>926</v>
      </c>
      <c r="J361" s="4" t="s">
        <v>284</v>
      </c>
      <c r="K361" s="6" t="s">
        <v>927</v>
      </c>
      <c r="L361" s="6"/>
      <c r="M361" s="9">
        <v>533831</v>
      </c>
      <c r="N361" s="4" t="s">
        <v>856</v>
      </c>
      <c r="O361" s="4" t="s">
        <v>61</v>
      </c>
      <c r="P361" s="4" t="s">
        <v>857</v>
      </c>
      <c r="Q361" s="3" t="s">
        <v>32</v>
      </c>
      <c r="R361" s="3" t="s">
        <v>33</v>
      </c>
      <c r="S361" s="4"/>
    </row>
    <row r="362" spans="1:19" ht="17.45">
      <c r="A362" s="3">
        <f>SUBTOTAL(103,$B$4:B362)</f>
        <v>359</v>
      </c>
      <c r="B362" s="8">
        <v>561836</v>
      </c>
      <c r="C362" s="5" t="s">
        <v>928</v>
      </c>
      <c r="D362" s="4" t="s">
        <v>35</v>
      </c>
      <c r="E362" s="4" t="s">
        <v>819</v>
      </c>
      <c r="F362" s="30">
        <v>46048</v>
      </c>
      <c r="G362" s="19" t="s">
        <v>282</v>
      </c>
      <c r="H362" s="19" t="str">
        <f t="shared" ca="1" si="5"/>
        <v>0 Years, 4 Months, 8 Days</v>
      </c>
      <c r="I362" s="16" t="s">
        <v>929</v>
      </c>
      <c r="J362" s="4" t="s">
        <v>284</v>
      </c>
      <c r="K362" s="6" t="s">
        <v>930</v>
      </c>
      <c r="L362" s="6"/>
      <c r="M362" s="9">
        <v>533831</v>
      </c>
      <c r="N362" s="4" t="s">
        <v>856</v>
      </c>
      <c r="O362" s="4" t="s">
        <v>61</v>
      </c>
      <c r="P362" s="4" t="s">
        <v>857</v>
      </c>
      <c r="Q362" s="3" t="s">
        <v>32</v>
      </c>
      <c r="R362" s="3" t="s">
        <v>33</v>
      </c>
      <c r="S362" s="4"/>
    </row>
    <row r="363" spans="1:19" ht="17.45">
      <c r="A363" s="3">
        <f>SUBTOTAL(103,$B$4:B363)</f>
        <v>360</v>
      </c>
      <c r="B363" s="8">
        <v>562777</v>
      </c>
      <c r="C363" s="5" t="s">
        <v>931</v>
      </c>
      <c r="D363" s="4" t="s">
        <v>48</v>
      </c>
      <c r="E363" s="4" t="s">
        <v>819</v>
      </c>
      <c r="F363" s="30">
        <v>46076</v>
      </c>
      <c r="G363" s="19" t="s">
        <v>282</v>
      </c>
      <c r="H363" s="19" t="str">
        <f t="shared" ca="1" si="5"/>
        <v>0 Years, 3 Months, 11 Days</v>
      </c>
      <c r="I363" s="4" t="s">
        <v>932</v>
      </c>
      <c r="J363" s="4" t="s">
        <v>284</v>
      </c>
      <c r="K363" s="6" t="s">
        <v>933</v>
      </c>
      <c r="L363" s="6"/>
      <c r="M363" s="9">
        <v>533831</v>
      </c>
      <c r="N363" s="4" t="s">
        <v>856</v>
      </c>
      <c r="O363" s="4" t="s">
        <v>61</v>
      </c>
      <c r="P363" s="4" t="s">
        <v>857</v>
      </c>
      <c r="Q363" s="3" t="s">
        <v>32</v>
      </c>
      <c r="R363" s="3" t="s">
        <v>33</v>
      </c>
      <c r="S363" s="4"/>
    </row>
    <row r="364" spans="1:19" ht="17.45">
      <c r="A364" s="3">
        <f>SUBTOTAL(103,$B$4:B364)</f>
        <v>361</v>
      </c>
      <c r="B364" s="8">
        <v>563463</v>
      </c>
      <c r="C364" s="5" t="s">
        <v>934</v>
      </c>
      <c r="D364" s="4" t="s">
        <v>24</v>
      </c>
      <c r="E364" s="4" t="s">
        <v>819</v>
      </c>
      <c r="F364" s="30">
        <v>46111</v>
      </c>
      <c r="G364" s="19" t="s">
        <v>282</v>
      </c>
      <c r="H364" s="19" t="str">
        <f t="shared" ca="1" si="5"/>
        <v>0 Years, 2 Months, 4 Days</v>
      </c>
      <c r="I364" s="4" t="s">
        <v>935</v>
      </c>
      <c r="J364" s="4" t="s">
        <v>284</v>
      </c>
      <c r="K364" s="6" t="s">
        <v>936</v>
      </c>
      <c r="L364" s="6"/>
      <c r="M364" s="9">
        <v>533831</v>
      </c>
      <c r="N364" s="4" t="s">
        <v>856</v>
      </c>
      <c r="O364" s="4" t="s">
        <v>61</v>
      </c>
      <c r="P364" s="4" t="s">
        <v>857</v>
      </c>
      <c r="Q364" s="3" t="s">
        <v>32</v>
      </c>
      <c r="R364" s="3" t="s">
        <v>33</v>
      </c>
      <c r="S364" s="4"/>
    </row>
    <row r="365" spans="1:19" ht="17.45">
      <c r="A365" s="3">
        <f>SUBTOTAL(103,$B$4:B365)</f>
        <v>362</v>
      </c>
      <c r="B365" s="8">
        <v>563565</v>
      </c>
      <c r="C365" s="5" t="s">
        <v>937</v>
      </c>
      <c r="D365" s="4" t="s">
        <v>48</v>
      </c>
      <c r="E365" s="4" t="s">
        <v>819</v>
      </c>
      <c r="F365" s="30">
        <v>46113</v>
      </c>
      <c r="G365" s="19" t="s">
        <v>282</v>
      </c>
      <c r="H365" s="19" t="str">
        <f t="shared" ca="1" si="5"/>
        <v>0 Years, 2 Months, 2 Days</v>
      </c>
      <c r="I365" s="4" t="s">
        <v>938</v>
      </c>
      <c r="J365" s="4" t="s">
        <v>284</v>
      </c>
      <c r="K365" s="6" t="s">
        <v>939</v>
      </c>
      <c r="L365" s="6"/>
      <c r="M365" s="9">
        <v>533831</v>
      </c>
      <c r="N365" s="4" t="s">
        <v>856</v>
      </c>
      <c r="O365" s="4" t="s">
        <v>61</v>
      </c>
      <c r="P365" s="4" t="s">
        <v>857</v>
      </c>
      <c r="Q365" s="3" t="s">
        <v>32</v>
      </c>
      <c r="R365" s="3" t="s">
        <v>33</v>
      </c>
      <c r="S365" s="4"/>
    </row>
    <row r="366" spans="1:19" ht="17.45">
      <c r="A366" s="3">
        <f>SUBTOTAL(103,$B$4:B366)</f>
        <v>363</v>
      </c>
      <c r="B366" s="8">
        <v>537630</v>
      </c>
      <c r="C366" s="5" t="s">
        <v>940</v>
      </c>
      <c r="D366" s="4" t="s">
        <v>61</v>
      </c>
      <c r="E366" s="4" t="s">
        <v>819</v>
      </c>
      <c r="F366" s="30">
        <v>45112</v>
      </c>
      <c r="G366" s="19" t="s">
        <v>26</v>
      </c>
      <c r="H366" s="19" t="str">
        <f t="shared" ca="1" si="5"/>
        <v>2 Years, 10 Months, 29 Days</v>
      </c>
      <c r="I366" s="4" t="s">
        <v>941</v>
      </c>
      <c r="J366" s="4" t="s">
        <v>28</v>
      </c>
      <c r="K366" s="6">
        <v>1710352992</v>
      </c>
      <c r="L366" s="6">
        <v>1324762449</v>
      </c>
      <c r="M366" s="9">
        <v>536590</v>
      </c>
      <c r="N366" s="4" t="s">
        <v>848</v>
      </c>
      <c r="O366" s="4" t="s">
        <v>94</v>
      </c>
      <c r="P366" s="4" t="s">
        <v>849</v>
      </c>
      <c r="Q366" s="3" t="s">
        <v>32</v>
      </c>
      <c r="R366" s="3" t="s">
        <v>33</v>
      </c>
      <c r="S366" s="4"/>
    </row>
    <row r="367" spans="1:19" ht="17.45">
      <c r="A367" s="3">
        <f>SUBTOTAL(103,$B$4:B367)</f>
        <v>364</v>
      </c>
      <c r="B367" s="8">
        <v>537878</v>
      </c>
      <c r="C367" s="5" t="s">
        <v>942</v>
      </c>
      <c r="D367" s="4" t="s">
        <v>61</v>
      </c>
      <c r="E367" s="4" t="s">
        <v>819</v>
      </c>
      <c r="F367" s="30">
        <v>45123</v>
      </c>
      <c r="G367" s="19" t="s">
        <v>26</v>
      </c>
      <c r="H367" s="19" t="str">
        <f t="shared" ca="1" si="5"/>
        <v>2 Years, 10 Months, 18 Days</v>
      </c>
      <c r="I367" s="4" t="s">
        <v>943</v>
      </c>
      <c r="J367" s="4" t="s">
        <v>28</v>
      </c>
      <c r="K367" s="6">
        <v>1947584071</v>
      </c>
      <c r="L367" s="6">
        <v>1324762441</v>
      </c>
      <c r="M367" s="9">
        <v>536590</v>
      </c>
      <c r="N367" s="4" t="s">
        <v>848</v>
      </c>
      <c r="O367" s="4" t="s">
        <v>94</v>
      </c>
      <c r="P367" s="4" t="s">
        <v>849</v>
      </c>
      <c r="Q367" s="3" t="s">
        <v>32</v>
      </c>
      <c r="R367" s="3" t="s">
        <v>33</v>
      </c>
      <c r="S367" s="4"/>
    </row>
    <row r="368" spans="1:19" ht="17.45">
      <c r="A368" s="3">
        <f>SUBTOTAL(103,$B$4:B368)</f>
        <v>365</v>
      </c>
      <c r="B368" s="8">
        <v>549121</v>
      </c>
      <c r="C368" s="5" t="s">
        <v>944</v>
      </c>
      <c r="D368" s="4" t="s">
        <v>48</v>
      </c>
      <c r="E368" s="4" t="s">
        <v>819</v>
      </c>
      <c r="F368" s="30">
        <v>45643</v>
      </c>
      <c r="G368" s="19" t="s">
        <v>26</v>
      </c>
      <c r="H368" s="19" t="str">
        <f t="shared" ca="1" si="5"/>
        <v>1 Years, 5 Months, 17 Days</v>
      </c>
      <c r="I368" s="4" t="s">
        <v>945</v>
      </c>
      <c r="J368" s="4" t="s">
        <v>28</v>
      </c>
      <c r="K368" s="6">
        <v>1626218470</v>
      </c>
      <c r="L368" s="6" t="s">
        <v>42</v>
      </c>
      <c r="M368" s="9">
        <v>536590</v>
      </c>
      <c r="N368" s="4" t="s">
        <v>848</v>
      </c>
      <c r="O368" s="4" t="s">
        <v>94</v>
      </c>
      <c r="P368" s="4" t="s">
        <v>849</v>
      </c>
      <c r="Q368" s="3" t="s">
        <v>32</v>
      </c>
      <c r="R368" s="3" t="s">
        <v>33</v>
      </c>
      <c r="S368" s="4"/>
    </row>
    <row r="369" spans="1:19" ht="17.45">
      <c r="A369" s="3">
        <f>SUBTOTAL(103,$B$4:B369)</f>
        <v>366</v>
      </c>
      <c r="B369" s="8">
        <v>559488</v>
      </c>
      <c r="C369" s="5" t="s">
        <v>946</v>
      </c>
      <c r="D369" s="4" t="s">
        <v>38</v>
      </c>
      <c r="E369" s="4" t="s">
        <v>819</v>
      </c>
      <c r="F369" s="30">
        <v>45980</v>
      </c>
      <c r="G369" s="19" t="s">
        <v>26</v>
      </c>
      <c r="H369" s="19" t="str">
        <f t="shared" ca="1" si="5"/>
        <v>0 Years, 6 Months, 15 Days</v>
      </c>
      <c r="I369" s="4" t="s">
        <v>947</v>
      </c>
      <c r="J369" s="4" t="s">
        <v>28</v>
      </c>
      <c r="K369" s="6">
        <v>1302942833</v>
      </c>
      <c r="L369" s="6" t="s">
        <v>42</v>
      </c>
      <c r="M369" s="9">
        <v>536590</v>
      </c>
      <c r="N369" s="4" t="s">
        <v>848</v>
      </c>
      <c r="O369" s="4" t="s">
        <v>94</v>
      </c>
      <c r="P369" s="4" t="s">
        <v>849</v>
      </c>
      <c r="Q369" s="3" t="s">
        <v>32</v>
      </c>
      <c r="R369" s="3" t="s">
        <v>33</v>
      </c>
      <c r="S369" s="4"/>
    </row>
    <row r="370" spans="1:19" ht="17.45">
      <c r="A370" s="3">
        <f>SUBTOTAL(103,$B$4:B370)</f>
        <v>367</v>
      </c>
      <c r="B370" s="8">
        <v>365737</v>
      </c>
      <c r="C370" s="5" t="s">
        <v>844</v>
      </c>
      <c r="D370" s="4" t="s">
        <v>24</v>
      </c>
      <c r="E370" s="4" t="s">
        <v>819</v>
      </c>
      <c r="F370" s="30">
        <v>43178</v>
      </c>
      <c r="G370" s="19" t="s">
        <v>282</v>
      </c>
      <c r="H370" s="19" t="str">
        <f t="shared" ca="1" si="5"/>
        <v>8 Years, 2 Months, 15 Days</v>
      </c>
      <c r="I370" s="4" t="s">
        <v>845</v>
      </c>
      <c r="J370" s="4" t="s">
        <v>284</v>
      </c>
      <c r="K370" s="6">
        <v>1772202882</v>
      </c>
      <c r="L370" s="6">
        <v>1713020533</v>
      </c>
      <c r="M370" s="9">
        <v>557888</v>
      </c>
      <c r="N370" s="4" t="s">
        <v>875</v>
      </c>
      <c r="O370" s="4" t="s">
        <v>250</v>
      </c>
      <c r="P370" s="4" t="s">
        <v>876</v>
      </c>
      <c r="Q370" s="3" t="s">
        <v>32</v>
      </c>
      <c r="R370" s="3" t="s">
        <v>33</v>
      </c>
      <c r="S370" s="4"/>
    </row>
    <row r="371" spans="1:19" ht="17.45">
      <c r="A371" s="3">
        <f>SUBTOTAL(103,$B$4:B371)</f>
        <v>368</v>
      </c>
      <c r="B371" s="8">
        <v>539827</v>
      </c>
      <c r="C371" s="5" t="s">
        <v>948</v>
      </c>
      <c r="D371" s="4" t="s">
        <v>24</v>
      </c>
      <c r="E371" s="4" t="s">
        <v>819</v>
      </c>
      <c r="F371" s="30">
        <v>45232</v>
      </c>
      <c r="G371" s="19" t="s">
        <v>282</v>
      </c>
      <c r="H371" s="19" t="str">
        <f t="shared" ca="1" si="5"/>
        <v>2 Years, 7 Months, 1 Days</v>
      </c>
      <c r="I371" s="4" t="s">
        <v>949</v>
      </c>
      <c r="J371" s="4" t="s">
        <v>284</v>
      </c>
      <c r="K371" s="6">
        <v>1745830677</v>
      </c>
      <c r="L371" s="6">
        <v>1329645726</v>
      </c>
      <c r="M371" s="9">
        <v>557888</v>
      </c>
      <c r="N371" s="4" t="s">
        <v>875</v>
      </c>
      <c r="O371" s="4" t="s">
        <v>250</v>
      </c>
      <c r="P371" s="4" t="s">
        <v>876</v>
      </c>
      <c r="Q371" s="3" t="s">
        <v>32</v>
      </c>
      <c r="R371" s="3" t="s">
        <v>33</v>
      </c>
      <c r="S371" s="4"/>
    </row>
    <row r="372" spans="1:19" ht="17.45">
      <c r="A372" s="3">
        <f>SUBTOTAL(103,$B$4:B372)</f>
        <v>369</v>
      </c>
      <c r="B372" s="8">
        <v>550332</v>
      </c>
      <c r="C372" s="5" t="s">
        <v>950</v>
      </c>
      <c r="D372" s="4" t="s">
        <v>48</v>
      </c>
      <c r="E372" s="4" t="s">
        <v>819</v>
      </c>
      <c r="F372" s="30">
        <v>45683</v>
      </c>
      <c r="G372" s="19" t="s">
        <v>282</v>
      </c>
      <c r="H372" s="19" t="str">
        <f t="shared" ca="1" si="5"/>
        <v>1 Years, 4 Months, 8 Days</v>
      </c>
      <c r="I372" s="4" t="s">
        <v>951</v>
      </c>
      <c r="J372" s="4" t="s">
        <v>284</v>
      </c>
      <c r="K372" s="6">
        <v>1798124035</v>
      </c>
      <c r="L372" s="6" t="s">
        <v>42</v>
      </c>
      <c r="M372" s="9">
        <v>557888</v>
      </c>
      <c r="N372" s="4" t="s">
        <v>875</v>
      </c>
      <c r="O372" s="4" t="s">
        <v>250</v>
      </c>
      <c r="P372" s="4" t="s">
        <v>876</v>
      </c>
      <c r="Q372" s="3" t="s">
        <v>32</v>
      </c>
      <c r="R372" s="3" t="s">
        <v>33</v>
      </c>
      <c r="S372" s="4"/>
    </row>
    <row r="373" spans="1:19" ht="17.45">
      <c r="A373" s="3">
        <f>SUBTOTAL(103,$B$4:B373)</f>
        <v>370</v>
      </c>
      <c r="B373" s="8">
        <v>562727</v>
      </c>
      <c r="C373" s="5" t="s">
        <v>952</v>
      </c>
      <c r="D373" s="4" t="s">
        <v>24</v>
      </c>
      <c r="E373" s="4" t="s">
        <v>819</v>
      </c>
      <c r="F373" s="30">
        <v>46075</v>
      </c>
      <c r="G373" s="19" t="s">
        <v>282</v>
      </c>
      <c r="H373" s="19" t="str">
        <f t="shared" ca="1" si="5"/>
        <v>0 Years, 3 Months, 12 Days</v>
      </c>
      <c r="I373" s="4" t="s">
        <v>953</v>
      </c>
      <c r="J373" s="4" t="s">
        <v>284</v>
      </c>
      <c r="K373" s="6" t="s">
        <v>954</v>
      </c>
      <c r="L373" s="6"/>
      <c r="M373" s="9">
        <v>557888</v>
      </c>
      <c r="N373" s="4" t="s">
        <v>875</v>
      </c>
      <c r="O373" s="4" t="s">
        <v>250</v>
      </c>
      <c r="P373" s="4" t="s">
        <v>876</v>
      </c>
      <c r="Q373" s="3" t="s">
        <v>32</v>
      </c>
      <c r="R373" s="3" t="s">
        <v>33</v>
      </c>
      <c r="S373" s="4"/>
    </row>
    <row r="374" spans="1:19" ht="17.45">
      <c r="A374" s="3">
        <f>SUBTOTAL(103,$B$4:B374)</f>
        <v>371</v>
      </c>
      <c r="B374" s="8">
        <v>561871</v>
      </c>
      <c r="C374" s="5" t="s">
        <v>955</v>
      </c>
      <c r="D374" s="4" t="s">
        <v>38</v>
      </c>
      <c r="E374" s="4" t="s">
        <v>819</v>
      </c>
      <c r="F374" s="30">
        <v>46048</v>
      </c>
      <c r="G374" s="19" t="s">
        <v>282</v>
      </c>
      <c r="H374" s="19" t="str">
        <f t="shared" ca="1" si="5"/>
        <v>0 Years, 4 Months, 8 Days</v>
      </c>
      <c r="I374" s="4" t="s">
        <v>956</v>
      </c>
      <c r="J374" s="4" t="s">
        <v>284</v>
      </c>
      <c r="K374" s="6" t="s">
        <v>957</v>
      </c>
      <c r="L374" s="6"/>
      <c r="M374" s="9">
        <v>558281</v>
      </c>
      <c r="N374" s="4" t="s">
        <v>877</v>
      </c>
      <c r="O374" s="4" t="s">
        <v>24</v>
      </c>
      <c r="P374" s="4" t="s">
        <v>878</v>
      </c>
      <c r="Q374" s="3" t="s">
        <v>32</v>
      </c>
      <c r="R374" s="3" t="s">
        <v>33</v>
      </c>
      <c r="S374" s="4"/>
    </row>
    <row r="375" spans="1:19" ht="17.25">
      <c r="A375" s="3">
        <f>SUBTOTAL(103,$B$4:B375)</f>
        <v>372</v>
      </c>
      <c r="B375" s="8">
        <v>540336</v>
      </c>
      <c r="C375" s="5" t="s">
        <v>958</v>
      </c>
      <c r="D375" s="4" t="s">
        <v>61</v>
      </c>
      <c r="E375" s="4" t="s">
        <v>819</v>
      </c>
      <c r="F375" s="30">
        <v>45272</v>
      </c>
      <c r="G375" s="19" t="s">
        <v>26</v>
      </c>
      <c r="H375" s="19" t="str">
        <f t="shared" ca="1" si="5"/>
        <v>2 Years, 5 Months, 22 Days</v>
      </c>
      <c r="I375" s="15" t="s">
        <v>959</v>
      </c>
      <c r="J375" s="4" t="s">
        <v>28</v>
      </c>
      <c r="K375" s="6">
        <v>1724991177</v>
      </c>
      <c r="L375" s="6">
        <v>1329645728</v>
      </c>
      <c r="M375" s="9">
        <v>558368</v>
      </c>
      <c r="N375" s="4" t="s">
        <v>851</v>
      </c>
      <c r="O375" s="4" t="s">
        <v>106</v>
      </c>
      <c r="P375" s="4" t="s">
        <v>852</v>
      </c>
      <c r="Q375" s="3" t="s">
        <v>32</v>
      </c>
      <c r="R375" s="3" t="s">
        <v>33</v>
      </c>
      <c r="S375" s="4"/>
    </row>
    <row r="376" spans="1:19" ht="17.45">
      <c r="A376" s="3">
        <f>SUBTOTAL(103,$B$4:B376)</f>
        <v>373</v>
      </c>
      <c r="B376" s="8">
        <v>563566</v>
      </c>
      <c r="C376" s="5" t="s">
        <v>960</v>
      </c>
      <c r="D376" s="4" t="s">
        <v>24</v>
      </c>
      <c r="E376" s="4" t="s">
        <v>819</v>
      </c>
      <c r="F376" s="30">
        <v>46118</v>
      </c>
      <c r="G376" s="19" t="s">
        <v>26</v>
      </c>
      <c r="H376" s="19" t="str">
        <f t="shared" ca="1" si="5"/>
        <v>0 Years, 1 Months, 28 Days</v>
      </c>
      <c r="I376" s="4" t="s">
        <v>961</v>
      </c>
      <c r="J376" s="4" t="s">
        <v>28</v>
      </c>
      <c r="K376" s="6" t="s">
        <v>962</v>
      </c>
      <c r="L376" s="6"/>
      <c r="M376" s="9">
        <v>558368</v>
      </c>
      <c r="N376" s="4" t="s">
        <v>851</v>
      </c>
      <c r="O376" s="4" t="s">
        <v>106</v>
      </c>
      <c r="P376" s="4" t="s">
        <v>852</v>
      </c>
      <c r="Q376" s="3" t="s">
        <v>32</v>
      </c>
      <c r="R376" s="3" t="s">
        <v>33</v>
      </c>
      <c r="S376" s="4"/>
    </row>
    <row r="377" spans="1:19" ht="17.45">
      <c r="A377" s="3">
        <f>SUBTOTAL(103,$B$4:B377)</f>
        <v>374</v>
      </c>
      <c r="B377" s="8">
        <v>533137</v>
      </c>
      <c r="C377" s="5" t="s">
        <v>285</v>
      </c>
      <c r="D377" s="4" t="s">
        <v>286</v>
      </c>
      <c r="E377" s="4" t="s">
        <v>819</v>
      </c>
      <c r="F377" s="30">
        <v>44843</v>
      </c>
      <c r="G377" s="19" t="s">
        <v>282</v>
      </c>
      <c r="H377" s="19" t="str">
        <f t="shared" ca="1" si="5"/>
        <v>3 Years, 7 Months, 25 Days</v>
      </c>
      <c r="I377" s="4" t="s">
        <v>287</v>
      </c>
      <c r="J377" s="4" t="s">
        <v>284</v>
      </c>
      <c r="K377" s="6">
        <v>46725074741</v>
      </c>
      <c r="L377" s="6" t="s">
        <v>42</v>
      </c>
      <c r="M377" s="14"/>
      <c r="N377" s="18" t="s">
        <v>175</v>
      </c>
      <c r="O377" s="4" t="s">
        <v>175</v>
      </c>
      <c r="P377" s="4" t="s">
        <v>175</v>
      </c>
      <c r="Q377" s="3" t="s">
        <v>123</v>
      </c>
      <c r="R377" s="3" t="s">
        <v>124</v>
      </c>
      <c r="S377" s="4" t="s">
        <v>963</v>
      </c>
    </row>
    <row r="378" spans="1:19" ht="17.45">
      <c r="A378" s="3">
        <f>SUBTOTAL(103,$B$4:B378)</f>
        <v>375</v>
      </c>
      <c r="B378" s="8">
        <v>515391</v>
      </c>
      <c r="C378" s="5" t="s">
        <v>964</v>
      </c>
      <c r="D378" s="4" t="s">
        <v>38</v>
      </c>
      <c r="E378" s="4" t="s">
        <v>819</v>
      </c>
      <c r="F378" s="30">
        <v>44263</v>
      </c>
      <c r="G378" s="19" t="s">
        <v>282</v>
      </c>
      <c r="H378" s="19" t="str">
        <f t="shared" ca="1" si="5"/>
        <v>5 Years, 2 Months, 26 Days</v>
      </c>
      <c r="I378" s="4" t="s">
        <v>965</v>
      </c>
      <c r="J378" s="4" t="s">
        <v>284</v>
      </c>
      <c r="K378" s="6">
        <v>1743480367</v>
      </c>
      <c r="L378" s="6" t="s">
        <v>42</v>
      </c>
      <c r="M378" s="8">
        <v>1391</v>
      </c>
      <c r="N378" s="18" t="s">
        <v>821</v>
      </c>
      <c r="O378" s="4" t="s">
        <v>61</v>
      </c>
      <c r="P378" s="18" t="s">
        <v>822</v>
      </c>
      <c r="Q378" s="3" t="s">
        <v>32</v>
      </c>
      <c r="R378" s="3" t="s">
        <v>33</v>
      </c>
      <c r="S378" s="4"/>
    </row>
    <row r="379" spans="1:19" ht="17.45">
      <c r="A379" s="3">
        <f>SUBTOTAL(103,$B$4:B379)</f>
        <v>376</v>
      </c>
      <c r="B379" s="8">
        <v>542363</v>
      </c>
      <c r="C379" s="5" t="s">
        <v>966</v>
      </c>
      <c r="D379" s="4" t="s">
        <v>38</v>
      </c>
      <c r="E379" s="4" t="s">
        <v>819</v>
      </c>
      <c r="F379" s="30">
        <v>45383</v>
      </c>
      <c r="G379" s="19" t="s">
        <v>282</v>
      </c>
      <c r="H379" s="19" t="str">
        <f t="shared" ca="1" si="5"/>
        <v>2 Years, 2 Months, 2 Days</v>
      </c>
      <c r="I379" s="4" t="s">
        <v>967</v>
      </c>
      <c r="J379" s="4" t="s">
        <v>284</v>
      </c>
      <c r="K379" s="6">
        <v>1783001045</v>
      </c>
      <c r="L379" s="6">
        <v>1334762317</v>
      </c>
      <c r="M379" s="9">
        <v>557888</v>
      </c>
      <c r="N379" s="4" t="s">
        <v>875</v>
      </c>
      <c r="O379" s="4" t="str">
        <f>VLOOKUP(Table1[[#This Row],[Supervisors'' Enroll]],[1]EmployeeMonthLyStatus!$B$2:$G$2474,6,FALSE)</f>
        <v>Senior Manager</v>
      </c>
      <c r="P379" s="18" t="s">
        <v>876</v>
      </c>
      <c r="Q379" s="3" t="s">
        <v>32</v>
      </c>
      <c r="R379" s="3" t="s">
        <v>33</v>
      </c>
      <c r="S379" s="4"/>
    </row>
    <row r="380" spans="1:19" ht="17.45">
      <c r="A380" s="3">
        <f>SUBTOTAL(103,$B$4:B380)</f>
        <v>377</v>
      </c>
      <c r="B380" s="8">
        <v>551404</v>
      </c>
      <c r="C380" s="5" t="s">
        <v>968</v>
      </c>
      <c r="D380" s="4" t="s">
        <v>35</v>
      </c>
      <c r="E380" s="4" t="s">
        <v>819</v>
      </c>
      <c r="F380" s="30">
        <v>45718</v>
      </c>
      <c r="G380" s="19" t="s">
        <v>282</v>
      </c>
      <c r="H380" s="19" t="str">
        <f t="shared" ca="1" si="5"/>
        <v>1 Years, 3 Months, 1 Days</v>
      </c>
      <c r="I380" s="4" t="s">
        <v>969</v>
      </c>
      <c r="J380" s="4" t="s">
        <v>284</v>
      </c>
      <c r="K380" s="6">
        <v>1734167828</v>
      </c>
      <c r="L380" s="6" t="s">
        <v>42</v>
      </c>
      <c r="M380" s="9">
        <v>557888</v>
      </c>
      <c r="N380" s="4" t="s">
        <v>875</v>
      </c>
      <c r="O380" s="4" t="str">
        <f>VLOOKUP(Table1[[#This Row],[Supervisors'' Enroll]],[1]EmployeeMonthLyStatus!$B$2:$G$2474,6,FALSE)</f>
        <v>Senior Manager</v>
      </c>
      <c r="P380" s="18" t="s">
        <v>876</v>
      </c>
      <c r="Q380" s="3" t="s">
        <v>32</v>
      </c>
      <c r="R380" s="3" t="s">
        <v>33</v>
      </c>
      <c r="S380" s="4"/>
    </row>
    <row r="381" spans="1:19" ht="17.45">
      <c r="A381" s="3">
        <f>SUBTOTAL(103,$B$4:B381)</f>
        <v>378</v>
      </c>
      <c r="B381" s="8">
        <v>552399</v>
      </c>
      <c r="C381" s="5" t="s">
        <v>970</v>
      </c>
      <c r="D381" s="4" t="s">
        <v>48</v>
      </c>
      <c r="E381" s="4" t="s">
        <v>819</v>
      </c>
      <c r="F381" s="30">
        <v>45767</v>
      </c>
      <c r="G381" s="19" t="s">
        <v>282</v>
      </c>
      <c r="H381" s="19" t="str">
        <f t="shared" ca="1" si="5"/>
        <v>1 Years, 1 Months, 14 Days</v>
      </c>
      <c r="I381" s="4" t="s">
        <v>971</v>
      </c>
      <c r="J381" s="4" t="s">
        <v>284</v>
      </c>
      <c r="K381" s="6">
        <v>1870305960</v>
      </c>
      <c r="L381" s="6" t="s">
        <v>42</v>
      </c>
      <c r="M381" s="9">
        <v>557888</v>
      </c>
      <c r="N381" s="4" t="s">
        <v>875</v>
      </c>
      <c r="O381" s="4" t="str">
        <f>VLOOKUP(Table1[[#This Row],[Supervisors'' Enroll]],[1]EmployeeMonthLyStatus!$B$2:$G$2474,6,FALSE)</f>
        <v>Senior Manager</v>
      </c>
      <c r="P381" s="18" t="s">
        <v>876</v>
      </c>
      <c r="Q381" s="3" t="s">
        <v>32</v>
      </c>
      <c r="R381" s="3" t="s">
        <v>33</v>
      </c>
      <c r="S381" s="4"/>
    </row>
    <row r="382" spans="1:19" ht="17.45">
      <c r="A382" s="3">
        <f>SUBTOTAL(103,$B$4:B382)</f>
        <v>379</v>
      </c>
      <c r="B382" s="8">
        <v>553702</v>
      </c>
      <c r="C382" s="5" t="s">
        <v>388</v>
      </c>
      <c r="D382" s="4" t="s">
        <v>48</v>
      </c>
      <c r="E382" s="4" t="s">
        <v>819</v>
      </c>
      <c r="F382" s="30">
        <v>45799</v>
      </c>
      <c r="G382" s="19" t="s">
        <v>282</v>
      </c>
      <c r="H382" s="19" t="str">
        <f t="shared" ca="1" si="5"/>
        <v>1 Years, 0 Months, 12 Days</v>
      </c>
      <c r="I382" s="4" t="s">
        <v>972</v>
      </c>
      <c r="J382" s="4" t="s">
        <v>284</v>
      </c>
      <c r="K382" s="6">
        <v>1303744200</v>
      </c>
      <c r="L382" s="6" t="s">
        <v>42</v>
      </c>
      <c r="M382" s="9">
        <v>557888</v>
      </c>
      <c r="N382" s="4" t="s">
        <v>875</v>
      </c>
      <c r="O382" s="4" t="str">
        <f>VLOOKUP(Table1[[#This Row],[Supervisors'' Enroll]],[1]EmployeeMonthLyStatus!$B$2:$G$2474,6,FALSE)</f>
        <v>Senior Manager</v>
      </c>
      <c r="P382" s="18" t="s">
        <v>876</v>
      </c>
      <c r="Q382" s="3" t="s">
        <v>32</v>
      </c>
      <c r="R382" s="3" t="s">
        <v>33</v>
      </c>
      <c r="S382" s="4"/>
    </row>
    <row r="383" spans="1:19" ht="17.45">
      <c r="A383" s="3">
        <f>SUBTOTAL(103,$B$4:B383)</f>
        <v>380</v>
      </c>
      <c r="B383" s="8">
        <v>557876</v>
      </c>
      <c r="C383" s="5" t="s">
        <v>973</v>
      </c>
      <c r="D383" s="4" t="s">
        <v>24</v>
      </c>
      <c r="E383" s="4" t="s">
        <v>819</v>
      </c>
      <c r="F383" s="30">
        <v>45935</v>
      </c>
      <c r="G383" s="19" t="s">
        <v>282</v>
      </c>
      <c r="H383" s="19" t="str">
        <f t="shared" ca="1" si="5"/>
        <v>0 Years, 7 Months, 29 Days</v>
      </c>
      <c r="I383" s="4" t="s">
        <v>974</v>
      </c>
      <c r="J383" s="4" t="s">
        <v>284</v>
      </c>
      <c r="K383" s="6">
        <v>1721111504</v>
      </c>
      <c r="L383" s="6" t="s">
        <v>42</v>
      </c>
      <c r="M383" s="9">
        <v>557888</v>
      </c>
      <c r="N383" s="4" t="s">
        <v>875</v>
      </c>
      <c r="O383" s="4" t="str">
        <f>VLOOKUP(Table1[[#This Row],[Supervisors'' Enroll]],[1]EmployeeMonthLyStatus!$B$2:$G$2474,6,FALSE)</f>
        <v>Senior Manager</v>
      </c>
      <c r="P383" s="18" t="s">
        <v>876</v>
      </c>
      <c r="Q383" s="3" t="s">
        <v>32</v>
      </c>
      <c r="R383" s="3" t="s">
        <v>33</v>
      </c>
      <c r="S383" s="4"/>
    </row>
    <row r="384" spans="1:19" ht="17.45">
      <c r="A384" s="3">
        <f>SUBTOTAL(103,$B$4:B384)</f>
        <v>381</v>
      </c>
      <c r="B384" s="8">
        <v>559990</v>
      </c>
      <c r="C384" s="5" t="s">
        <v>975</v>
      </c>
      <c r="D384" s="4" t="s">
        <v>48</v>
      </c>
      <c r="E384" s="4" t="s">
        <v>819</v>
      </c>
      <c r="F384" s="30">
        <v>45993</v>
      </c>
      <c r="G384" s="19" t="s">
        <v>282</v>
      </c>
      <c r="H384" s="19" t="str">
        <f t="shared" ca="1" si="5"/>
        <v>0 Years, 6 Months, 1 Days</v>
      </c>
      <c r="I384" s="4" t="s">
        <v>976</v>
      </c>
      <c r="J384" s="4" t="s">
        <v>284</v>
      </c>
      <c r="K384" s="6">
        <v>1734382806</v>
      </c>
      <c r="L384" s="6" t="s">
        <v>42</v>
      </c>
      <c r="M384" s="9">
        <v>557888</v>
      </c>
      <c r="N384" s="4" t="s">
        <v>875</v>
      </c>
      <c r="O384" s="4" t="str">
        <f>VLOOKUP(Table1[[#This Row],[Supervisors'' Enroll]],[1]EmployeeMonthLyStatus!$B$2:$G$2474,6,FALSE)</f>
        <v>Senior Manager</v>
      </c>
      <c r="P384" s="18" t="s">
        <v>876</v>
      </c>
      <c r="Q384" s="3" t="s">
        <v>32</v>
      </c>
      <c r="R384" s="3" t="s">
        <v>33</v>
      </c>
      <c r="S384" s="4"/>
    </row>
    <row r="385" spans="1:19" ht="17.45">
      <c r="A385" s="3">
        <f>SUBTOTAL(103,$B$4:B385)</f>
        <v>382</v>
      </c>
      <c r="B385" s="8">
        <v>556512</v>
      </c>
      <c r="C385" s="5" t="s">
        <v>977</v>
      </c>
      <c r="D385" s="4" t="s">
        <v>48</v>
      </c>
      <c r="E385" s="4" t="s">
        <v>819</v>
      </c>
      <c r="F385" s="30">
        <v>45901</v>
      </c>
      <c r="G385" s="19" t="s">
        <v>282</v>
      </c>
      <c r="H385" s="19" t="str">
        <f t="shared" ca="1" si="5"/>
        <v>0 Years, 9 Months, 2 Days</v>
      </c>
      <c r="I385" s="4" t="s">
        <v>978</v>
      </c>
      <c r="J385" s="4" t="s">
        <v>28</v>
      </c>
      <c r="K385" s="6">
        <v>1531741539</v>
      </c>
      <c r="L385" s="6" t="s">
        <v>42</v>
      </c>
      <c r="M385" s="9">
        <v>557888</v>
      </c>
      <c r="N385" s="4" t="s">
        <v>875</v>
      </c>
      <c r="O385" s="4" t="str">
        <f>VLOOKUP(Table1[[#This Row],[Supervisors'' Enroll]],[1]EmployeeMonthLyStatus!$B$2:$G$2474,6,FALSE)</f>
        <v>Senior Manager</v>
      </c>
      <c r="P385" s="18" t="s">
        <v>876</v>
      </c>
      <c r="Q385" s="3" t="s">
        <v>32</v>
      </c>
      <c r="R385" s="3" t="s">
        <v>33</v>
      </c>
      <c r="S385" s="4"/>
    </row>
    <row r="386" spans="1:19" ht="17.45">
      <c r="A386" s="3">
        <f>SUBTOTAL(103,$B$4:B386)</f>
        <v>383</v>
      </c>
      <c r="B386" s="8">
        <v>538580</v>
      </c>
      <c r="C386" s="5" t="s">
        <v>979</v>
      </c>
      <c r="D386" s="4" t="s">
        <v>48</v>
      </c>
      <c r="E386" s="4" t="s">
        <v>819</v>
      </c>
      <c r="F386" s="30">
        <v>45161</v>
      </c>
      <c r="G386" s="19" t="s">
        <v>282</v>
      </c>
      <c r="H386" s="19" t="str">
        <f t="shared" ca="1" si="5"/>
        <v>2 Years, 9 Months, 11 Days</v>
      </c>
      <c r="I386" s="4" t="s">
        <v>980</v>
      </c>
      <c r="J386" s="4" t="s">
        <v>284</v>
      </c>
      <c r="K386" s="6">
        <v>1776304568</v>
      </c>
      <c r="L386" s="6">
        <v>1324762550</v>
      </c>
      <c r="M386" s="9">
        <v>533137</v>
      </c>
      <c r="N386" s="4" t="s">
        <v>285</v>
      </c>
      <c r="O386" s="4" t="str">
        <f>VLOOKUP(Table1[[#This Row],[Supervisors'' Enroll]],[1]EmployeeMonthLyStatus!$B$2:$G$2474,6,FALSE)</f>
        <v>MD &amp; CEO</v>
      </c>
      <c r="P386" s="18" t="s">
        <v>287</v>
      </c>
      <c r="Q386" s="3" t="s">
        <v>32</v>
      </c>
      <c r="R386" s="3" t="s">
        <v>33</v>
      </c>
      <c r="S386" s="4"/>
    </row>
    <row r="387" spans="1:19" ht="17.45">
      <c r="A387" s="3">
        <f>SUBTOTAL(103,$B$4:B387)</f>
        <v>384</v>
      </c>
      <c r="B387" s="8">
        <v>538746</v>
      </c>
      <c r="C387" s="5" t="s">
        <v>981</v>
      </c>
      <c r="D387" s="4" t="s">
        <v>38</v>
      </c>
      <c r="E387" s="4" t="s">
        <v>819</v>
      </c>
      <c r="F387" s="30">
        <v>45173</v>
      </c>
      <c r="G387" s="19" t="s">
        <v>282</v>
      </c>
      <c r="H387" s="19" t="str">
        <f t="shared" ca="1" si="5"/>
        <v>2 Years, 8 Months, 30 Days</v>
      </c>
      <c r="I387" s="4" t="s">
        <v>982</v>
      </c>
      <c r="J387" s="4" t="s">
        <v>284</v>
      </c>
      <c r="K387" s="6">
        <v>1712577581</v>
      </c>
      <c r="L387" s="6" t="s">
        <v>42</v>
      </c>
      <c r="M387" s="9">
        <v>533137</v>
      </c>
      <c r="N387" s="4" t="s">
        <v>285</v>
      </c>
      <c r="O387" s="4" t="str">
        <f>VLOOKUP(Table1[[#This Row],[Supervisors'' Enroll]],[1]EmployeeMonthLyStatus!$B$2:$G$2474,6,FALSE)</f>
        <v>MD &amp; CEO</v>
      </c>
      <c r="P387" s="18" t="s">
        <v>287</v>
      </c>
      <c r="Q387" s="3" t="s">
        <v>32</v>
      </c>
      <c r="R387" s="3" t="s">
        <v>33</v>
      </c>
      <c r="S387" s="4"/>
    </row>
    <row r="388" spans="1:19" ht="17.45">
      <c r="A388" s="3">
        <f>SUBTOTAL(103,$B$4:B388)</f>
        <v>385</v>
      </c>
      <c r="B388" s="8">
        <v>310687</v>
      </c>
      <c r="C388" s="5" t="s">
        <v>983</v>
      </c>
      <c r="D388" s="4" t="s">
        <v>24</v>
      </c>
      <c r="E388" s="4" t="s">
        <v>984</v>
      </c>
      <c r="F388" s="30">
        <v>42954</v>
      </c>
      <c r="G388" s="19" t="s">
        <v>26</v>
      </c>
      <c r="H388" s="19" t="str">
        <f t="shared" ca="1" si="5"/>
        <v>8 Years, 9 Months, 27 Days</v>
      </c>
      <c r="I388" s="4" t="s">
        <v>985</v>
      </c>
      <c r="J388" s="4" t="s">
        <v>28</v>
      </c>
      <c r="K388" s="6">
        <v>1717746977</v>
      </c>
      <c r="L388" s="6">
        <v>1777717926</v>
      </c>
      <c r="M388" s="9">
        <v>517329</v>
      </c>
      <c r="N388" s="4" t="s">
        <v>299</v>
      </c>
      <c r="O388" s="4" t="s">
        <v>129</v>
      </c>
      <c r="P388" s="4" t="s">
        <v>986</v>
      </c>
      <c r="Q388" s="3" t="s">
        <v>32</v>
      </c>
      <c r="R388" s="3" t="s">
        <v>33</v>
      </c>
      <c r="S388" s="4"/>
    </row>
    <row r="389" spans="1:19" ht="17.45">
      <c r="A389" s="3">
        <f>SUBTOTAL(103,$B$4:B389)</f>
        <v>386</v>
      </c>
      <c r="B389" s="8">
        <v>529346</v>
      </c>
      <c r="C389" s="5" t="s">
        <v>987</v>
      </c>
      <c r="D389" s="4" t="s">
        <v>24</v>
      </c>
      <c r="E389" s="4" t="s">
        <v>984</v>
      </c>
      <c r="F389" s="30">
        <v>44713</v>
      </c>
      <c r="G389" s="19" t="s">
        <v>26</v>
      </c>
      <c r="H389" s="19" t="str">
        <f t="shared" ref="H389:H452" ca="1" si="6">DATEDIF(F389,TODAY(),"Y") &amp; " Years, " &amp; DATEDIF(F389,TODAY(),"YM") &amp; " Months, " &amp; DATEDIF(F389,TODAY(),"MD") &amp; " Days"</f>
        <v>4 Years, 0 Months, 2 Days</v>
      </c>
      <c r="I389" s="4" t="s">
        <v>988</v>
      </c>
      <c r="J389" s="4" t="s">
        <v>28</v>
      </c>
      <c r="K389" s="6">
        <v>1726717700</v>
      </c>
      <c r="L389" s="6">
        <v>1324762719</v>
      </c>
      <c r="M389" s="9">
        <v>517329</v>
      </c>
      <c r="N389" s="4" t="s">
        <v>299</v>
      </c>
      <c r="O389" s="4" t="s">
        <v>129</v>
      </c>
      <c r="P389" s="4" t="s">
        <v>986</v>
      </c>
      <c r="Q389" s="3" t="s">
        <v>32</v>
      </c>
      <c r="R389" s="3" t="s">
        <v>33</v>
      </c>
      <c r="S389" s="4"/>
    </row>
    <row r="390" spans="1:19" ht="17.45">
      <c r="A390" s="3">
        <f>SUBTOTAL(103,$B$4:B390)</f>
        <v>387</v>
      </c>
      <c r="B390" s="8">
        <v>517329</v>
      </c>
      <c r="C390" s="5" t="s">
        <v>299</v>
      </c>
      <c r="D390" s="4" t="s">
        <v>129</v>
      </c>
      <c r="E390" s="4" t="s">
        <v>984</v>
      </c>
      <c r="F390" s="30">
        <v>44287</v>
      </c>
      <c r="G390" s="19" t="s">
        <v>26</v>
      </c>
      <c r="H390" s="19" t="str">
        <f t="shared" ca="1" si="6"/>
        <v>5 Years, 2 Months, 2 Days</v>
      </c>
      <c r="I390" s="4" t="s">
        <v>986</v>
      </c>
      <c r="J390" s="4" t="s">
        <v>28</v>
      </c>
      <c r="K390" s="6">
        <v>1755516450</v>
      </c>
      <c r="L390" s="6">
        <v>1755516450</v>
      </c>
      <c r="M390" s="9">
        <v>540363</v>
      </c>
      <c r="N390" s="4" t="s">
        <v>210</v>
      </c>
      <c r="O390" s="4" t="s">
        <v>211</v>
      </c>
      <c r="P390" s="4" t="s">
        <v>212</v>
      </c>
      <c r="Q390" s="3" t="s">
        <v>123</v>
      </c>
      <c r="R390" s="3" t="s">
        <v>124</v>
      </c>
      <c r="S390" s="4" t="s">
        <v>989</v>
      </c>
    </row>
    <row r="391" spans="1:19" ht="17.45">
      <c r="A391" s="3">
        <f>SUBTOTAL(103,$B$4:B391)</f>
        <v>388</v>
      </c>
      <c r="B391" s="8">
        <v>531764</v>
      </c>
      <c r="C391" s="5" t="s">
        <v>990</v>
      </c>
      <c r="D391" s="4" t="s">
        <v>48</v>
      </c>
      <c r="E391" s="4" t="s">
        <v>991</v>
      </c>
      <c r="F391" s="30">
        <v>44871</v>
      </c>
      <c r="G391" s="19" t="s">
        <v>26</v>
      </c>
      <c r="H391" s="19" t="str">
        <f t="shared" ca="1" si="6"/>
        <v>3 Years, 6 Months, 28 Days</v>
      </c>
      <c r="I391" s="4" t="s">
        <v>992</v>
      </c>
      <c r="J391" s="4" t="s">
        <v>28</v>
      </c>
      <c r="K391" s="6">
        <v>1788129271</v>
      </c>
      <c r="L391" s="6">
        <v>1324762625</v>
      </c>
      <c r="M391" s="9">
        <v>548518</v>
      </c>
      <c r="N391" s="4" t="s">
        <v>993</v>
      </c>
      <c r="O391" s="4" t="s">
        <v>30</v>
      </c>
      <c r="P391" s="4" t="s">
        <v>994</v>
      </c>
      <c r="Q391" s="3" t="s">
        <v>32</v>
      </c>
      <c r="R391" s="3" t="s">
        <v>33</v>
      </c>
      <c r="S391" s="4"/>
    </row>
    <row r="392" spans="1:19" ht="17.45">
      <c r="A392" s="3">
        <f>SUBTOTAL(103,$B$4:B392)</f>
        <v>389</v>
      </c>
      <c r="B392" s="8">
        <v>538655</v>
      </c>
      <c r="C392" s="5" t="s">
        <v>995</v>
      </c>
      <c r="D392" s="4" t="s">
        <v>48</v>
      </c>
      <c r="E392" s="4" t="s">
        <v>991</v>
      </c>
      <c r="F392" s="30">
        <v>45165</v>
      </c>
      <c r="G392" s="19" t="s">
        <v>26</v>
      </c>
      <c r="H392" s="19" t="str">
        <f t="shared" ca="1" si="6"/>
        <v>2 Years, 9 Months, 7 Days</v>
      </c>
      <c r="I392" s="4" t="s">
        <v>996</v>
      </c>
      <c r="J392" s="4" t="s">
        <v>28</v>
      </c>
      <c r="K392" s="6">
        <v>1324762552</v>
      </c>
      <c r="L392" s="6">
        <v>1324762552</v>
      </c>
      <c r="M392" s="9">
        <v>548518</v>
      </c>
      <c r="N392" s="4" t="s">
        <v>993</v>
      </c>
      <c r="O392" s="4" t="s">
        <v>30</v>
      </c>
      <c r="P392" s="4" t="s">
        <v>994</v>
      </c>
      <c r="Q392" s="3" t="s">
        <v>32</v>
      </c>
      <c r="R392" s="3" t="s">
        <v>33</v>
      </c>
      <c r="S392" s="4"/>
    </row>
    <row r="393" spans="1:19" ht="17.45">
      <c r="A393" s="3">
        <f>SUBTOTAL(103,$B$4:B393)</f>
        <v>390</v>
      </c>
      <c r="B393" s="8">
        <v>548650</v>
      </c>
      <c r="C393" s="5" t="s">
        <v>997</v>
      </c>
      <c r="D393" s="4" t="s">
        <v>48</v>
      </c>
      <c r="E393" s="4" t="s">
        <v>991</v>
      </c>
      <c r="F393" s="30">
        <v>45620</v>
      </c>
      <c r="G393" s="19" t="s">
        <v>26</v>
      </c>
      <c r="H393" s="19" t="str">
        <f t="shared" ca="1" si="6"/>
        <v>1 Years, 6 Months, 10 Days</v>
      </c>
      <c r="I393" s="4" t="s">
        <v>998</v>
      </c>
      <c r="J393" s="4" t="s">
        <v>28</v>
      </c>
      <c r="K393" s="6">
        <v>1778792926</v>
      </c>
      <c r="L393" s="6" t="s">
        <v>42</v>
      </c>
      <c r="M393" s="9">
        <v>548518</v>
      </c>
      <c r="N393" s="4" t="s">
        <v>993</v>
      </c>
      <c r="O393" s="4" t="s">
        <v>30</v>
      </c>
      <c r="P393" s="4" t="s">
        <v>994</v>
      </c>
      <c r="Q393" s="3" t="s">
        <v>32</v>
      </c>
      <c r="R393" s="3" t="s">
        <v>33</v>
      </c>
      <c r="S393" s="4"/>
    </row>
    <row r="394" spans="1:19" ht="17.45">
      <c r="A394" s="3">
        <f>SUBTOTAL(103,$B$4:B394)</f>
        <v>391</v>
      </c>
      <c r="B394" s="8">
        <v>550881</v>
      </c>
      <c r="C394" s="5" t="s">
        <v>999</v>
      </c>
      <c r="D394" s="4" t="s">
        <v>48</v>
      </c>
      <c r="E394" s="4" t="s">
        <v>991</v>
      </c>
      <c r="F394" s="30">
        <v>45699</v>
      </c>
      <c r="G394" s="19" t="s">
        <v>26</v>
      </c>
      <c r="H394" s="19" t="str">
        <f t="shared" ca="1" si="6"/>
        <v>1 Years, 3 Months, 23 Days</v>
      </c>
      <c r="I394" s="4" t="s">
        <v>1000</v>
      </c>
      <c r="J394" s="4" t="s">
        <v>28</v>
      </c>
      <c r="K394" s="6">
        <v>1840027585</v>
      </c>
      <c r="L394" s="6" t="s">
        <v>42</v>
      </c>
      <c r="M394" s="9">
        <v>548518</v>
      </c>
      <c r="N394" s="4" t="s">
        <v>993</v>
      </c>
      <c r="O394" s="4" t="s">
        <v>30</v>
      </c>
      <c r="P394" s="4" t="s">
        <v>994</v>
      </c>
      <c r="Q394" s="3" t="s">
        <v>32</v>
      </c>
      <c r="R394" s="3" t="s">
        <v>33</v>
      </c>
      <c r="S394" s="4"/>
    </row>
    <row r="395" spans="1:19" ht="17.45">
      <c r="A395" s="3">
        <f>SUBTOTAL(103,$B$4:B395)</f>
        <v>392</v>
      </c>
      <c r="B395" s="8">
        <v>555764</v>
      </c>
      <c r="C395" s="5" t="s">
        <v>1001</v>
      </c>
      <c r="D395" s="4" t="s">
        <v>48</v>
      </c>
      <c r="E395" s="4" t="s">
        <v>991</v>
      </c>
      <c r="F395" s="30">
        <v>45881</v>
      </c>
      <c r="G395" s="19" t="s">
        <v>26</v>
      </c>
      <c r="H395" s="19" t="str">
        <f t="shared" ca="1" si="6"/>
        <v>0 Years, 9 Months, 22 Days</v>
      </c>
      <c r="I395" s="4" t="s">
        <v>1002</v>
      </c>
      <c r="J395" s="4" t="s">
        <v>28</v>
      </c>
      <c r="K395" s="6">
        <v>1521416240</v>
      </c>
      <c r="L395" s="6" t="s">
        <v>42</v>
      </c>
      <c r="M395" s="9">
        <v>548518</v>
      </c>
      <c r="N395" s="4" t="s">
        <v>993</v>
      </c>
      <c r="O395" s="4" t="s">
        <v>30</v>
      </c>
      <c r="P395" s="4" t="s">
        <v>994</v>
      </c>
      <c r="Q395" s="3" t="s">
        <v>32</v>
      </c>
      <c r="R395" s="3" t="s">
        <v>33</v>
      </c>
      <c r="S395" s="4"/>
    </row>
    <row r="396" spans="1:19" ht="17.45">
      <c r="A396" s="3">
        <f>SUBTOTAL(103,$B$4:B396)</f>
        <v>393</v>
      </c>
      <c r="B396" s="8">
        <v>525544</v>
      </c>
      <c r="C396" s="5" t="s">
        <v>1003</v>
      </c>
      <c r="D396" s="4" t="s">
        <v>35</v>
      </c>
      <c r="E396" s="4" t="s">
        <v>991</v>
      </c>
      <c r="F396" s="30">
        <v>44601</v>
      </c>
      <c r="G396" s="19" t="s">
        <v>56</v>
      </c>
      <c r="H396" s="19" t="str">
        <f t="shared" ca="1" si="6"/>
        <v>4 Years, 3 Months, 25 Days</v>
      </c>
      <c r="I396" s="4" t="s">
        <v>1004</v>
      </c>
      <c r="J396" s="4" t="s">
        <v>58</v>
      </c>
      <c r="K396" s="6">
        <v>1744813776</v>
      </c>
      <c r="L396" s="6">
        <v>1713020634</v>
      </c>
      <c r="M396" s="9">
        <v>548518</v>
      </c>
      <c r="N396" s="4" t="s">
        <v>993</v>
      </c>
      <c r="O396" s="4" t="s">
        <v>30</v>
      </c>
      <c r="P396" s="4" t="s">
        <v>994</v>
      </c>
      <c r="Q396" s="3" t="s">
        <v>32</v>
      </c>
      <c r="R396" s="3" t="s">
        <v>33</v>
      </c>
      <c r="S396" s="4"/>
    </row>
    <row r="397" spans="1:19" ht="17.45">
      <c r="A397" s="3">
        <f>SUBTOTAL(103,$B$4:B397)</f>
        <v>394</v>
      </c>
      <c r="B397" s="8">
        <v>562454</v>
      </c>
      <c r="C397" s="5" t="s">
        <v>1005</v>
      </c>
      <c r="D397" s="4" t="s">
        <v>38</v>
      </c>
      <c r="E397" s="4" t="s">
        <v>991</v>
      </c>
      <c r="F397" s="30">
        <v>46062</v>
      </c>
      <c r="G397" s="19" t="s">
        <v>26</v>
      </c>
      <c r="H397" s="19" t="str">
        <f t="shared" ca="1" si="6"/>
        <v>0 Years, 3 Months, 25 Days</v>
      </c>
      <c r="I397" s="4" t="s">
        <v>1006</v>
      </c>
      <c r="J397" s="4" t="s">
        <v>28</v>
      </c>
      <c r="K397" s="6" t="s">
        <v>1007</v>
      </c>
      <c r="L397" s="6"/>
      <c r="M397" s="9">
        <v>548518</v>
      </c>
      <c r="N397" s="4" t="s">
        <v>993</v>
      </c>
      <c r="O397" s="4" t="s">
        <v>30</v>
      </c>
      <c r="P397" s="4" t="s">
        <v>994</v>
      </c>
      <c r="Q397" s="3" t="s">
        <v>32</v>
      </c>
      <c r="R397" s="3" t="s">
        <v>33</v>
      </c>
      <c r="S397" s="4"/>
    </row>
    <row r="398" spans="1:19" ht="17.45">
      <c r="A398" s="3">
        <f>SUBTOTAL(103,$B$4:B398)</f>
        <v>395</v>
      </c>
      <c r="B398" s="8">
        <v>562992</v>
      </c>
      <c r="C398" s="5" t="s">
        <v>1008</v>
      </c>
      <c r="D398" s="4" t="s">
        <v>48</v>
      </c>
      <c r="E398" s="4" t="s">
        <v>991</v>
      </c>
      <c r="F398" s="30">
        <v>46082</v>
      </c>
      <c r="G398" s="19" t="s">
        <v>26</v>
      </c>
      <c r="H398" s="19" t="str">
        <f t="shared" ca="1" si="6"/>
        <v>0 Years, 3 Months, 2 Days</v>
      </c>
      <c r="I398" s="4" t="s">
        <v>1009</v>
      </c>
      <c r="J398" s="4" t="s">
        <v>28</v>
      </c>
      <c r="K398" s="6" t="s">
        <v>1010</v>
      </c>
      <c r="L398" s="6"/>
      <c r="M398" s="9">
        <v>548518</v>
      </c>
      <c r="N398" s="4" t="s">
        <v>993</v>
      </c>
      <c r="O398" s="4" t="s">
        <v>30</v>
      </c>
      <c r="P398" s="4" t="s">
        <v>994</v>
      </c>
      <c r="Q398" s="3" t="s">
        <v>32</v>
      </c>
      <c r="R398" s="3" t="s">
        <v>33</v>
      </c>
      <c r="S398" s="4"/>
    </row>
    <row r="399" spans="1:19" ht="17.45">
      <c r="A399" s="3">
        <f>SUBTOTAL(103,$B$4:B399)</f>
        <v>396</v>
      </c>
      <c r="B399" s="8">
        <v>548518</v>
      </c>
      <c r="C399" s="5" t="s">
        <v>993</v>
      </c>
      <c r="D399" s="4" t="s">
        <v>30</v>
      </c>
      <c r="E399" s="4" t="s">
        <v>991</v>
      </c>
      <c r="F399" s="30">
        <v>45613</v>
      </c>
      <c r="G399" s="19" t="s">
        <v>26</v>
      </c>
      <c r="H399" s="19" t="str">
        <f t="shared" ca="1" si="6"/>
        <v>1 Years, 6 Months, 17 Days</v>
      </c>
      <c r="I399" s="4" t="s">
        <v>994</v>
      </c>
      <c r="J399" s="4" t="s">
        <v>28</v>
      </c>
      <c r="K399" s="6">
        <v>1303923103</v>
      </c>
      <c r="L399" s="6" t="s">
        <v>42</v>
      </c>
      <c r="M399" s="9">
        <v>540363</v>
      </c>
      <c r="N399" s="4" t="s">
        <v>210</v>
      </c>
      <c r="O399" s="4" t="str">
        <f>VLOOKUP(Table1[[#This Row],[Supervisors'' Enroll]],[1]EmployeeMonthLyStatus!$B$2:$G$2474,6,FALSE)</f>
        <v>Chief Executive Officer</v>
      </c>
      <c r="P399" s="18" t="s">
        <v>212</v>
      </c>
      <c r="Q399" s="3" t="s">
        <v>32</v>
      </c>
      <c r="R399" s="3" t="s">
        <v>124</v>
      </c>
      <c r="S399" s="4" t="s">
        <v>1011</v>
      </c>
    </row>
    <row r="400" spans="1:19" ht="17.45">
      <c r="A400" s="3">
        <f>SUBTOTAL(103,$B$4:B400)</f>
        <v>397</v>
      </c>
      <c r="B400" s="8">
        <v>380789</v>
      </c>
      <c r="C400" s="5" t="s">
        <v>1012</v>
      </c>
      <c r="D400" s="4" t="s">
        <v>35</v>
      </c>
      <c r="E400" s="4" t="s">
        <v>1013</v>
      </c>
      <c r="F400" s="30">
        <v>43302</v>
      </c>
      <c r="G400" s="19" t="s">
        <v>152</v>
      </c>
      <c r="H400" s="19" t="str">
        <f t="shared" ca="1" si="6"/>
        <v>7 Years, 10 Months, 13 Days</v>
      </c>
      <c r="I400" s="4" t="s">
        <v>1014</v>
      </c>
      <c r="J400" s="4" t="s">
        <v>154</v>
      </c>
      <c r="K400" s="6">
        <v>1725214211</v>
      </c>
      <c r="L400" s="6">
        <v>1713020548</v>
      </c>
      <c r="M400" s="9">
        <v>1333</v>
      </c>
      <c r="N400" s="4" t="s">
        <v>1015</v>
      </c>
      <c r="O400" s="4" t="s">
        <v>30</v>
      </c>
      <c r="P400" s="4" t="s">
        <v>1016</v>
      </c>
      <c r="Q400" s="3" t="s">
        <v>32</v>
      </c>
      <c r="R400" s="3" t="s">
        <v>33</v>
      </c>
      <c r="S400" s="4"/>
    </row>
    <row r="401" spans="1:19" ht="17.45">
      <c r="A401" s="3">
        <f>SUBTOTAL(103,$B$4:B401)</f>
        <v>398</v>
      </c>
      <c r="B401" s="8">
        <v>451513</v>
      </c>
      <c r="C401" s="5" t="s">
        <v>1017</v>
      </c>
      <c r="D401" s="4" t="s">
        <v>35</v>
      </c>
      <c r="E401" s="4" t="s">
        <v>1013</v>
      </c>
      <c r="F401" s="30">
        <v>43631</v>
      </c>
      <c r="G401" s="19" t="s">
        <v>152</v>
      </c>
      <c r="H401" s="19" t="str">
        <f t="shared" ca="1" si="6"/>
        <v>6 Years, 11 Months, 19 Days</v>
      </c>
      <c r="I401" s="4" t="s">
        <v>1018</v>
      </c>
      <c r="J401" s="4" t="s">
        <v>154</v>
      </c>
      <c r="K401" s="6">
        <v>1750789005</v>
      </c>
      <c r="L401" s="6" t="s">
        <v>42</v>
      </c>
      <c r="M401" s="9">
        <v>1333</v>
      </c>
      <c r="N401" s="4" t="s">
        <v>1015</v>
      </c>
      <c r="O401" s="4" t="s">
        <v>30</v>
      </c>
      <c r="P401" s="4" t="s">
        <v>1016</v>
      </c>
      <c r="Q401" s="3" t="s">
        <v>32</v>
      </c>
      <c r="R401" s="3" t="s">
        <v>33</v>
      </c>
      <c r="S401" s="4"/>
    </row>
    <row r="402" spans="1:19" ht="17.45">
      <c r="A402" s="3">
        <f>SUBTOTAL(103,$B$4:B402)</f>
        <v>399</v>
      </c>
      <c r="B402" s="8">
        <v>370958</v>
      </c>
      <c r="C402" s="5" t="s">
        <v>1019</v>
      </c>
      <c r="D402" s="4" t="s">
        <v>35</v>
      </c>
      <c r="E402" s="4" t="s">
        <v>1013</v>
      </c>
      <c r="F402" s="30">
        <v>43225</v>
      </c>
      <c r="G402" s="19" t="s">
        <v>26</v>
      </c>
      <c r="H402" s="19" t="str">
        <f t="shared" ca="1" si="6"/>
        <v>8 Years, 0 Months, 29 Days</v>
      </c>
      <c r="I402" s="4" t="s">
        <v>1020</v>
      </c>
      <c r="J402" s="4" t="s">
        <v>28</v>
      </c>
      <c r="K402" s="6">
        <v>1741496088</v>
      </c>
      <c r="L402" s="6">
        <v>1713020541</v>
      </c>
      <c r="M402" s="9">
        <v>282132</v>
      </c>
      <c r="N402" s="4" t="s">
        <v>696</v>
      </c>
      <c r="O402" s="4" t="s">
        <v>30</v>
      </c>
      <c r="P402" s="4" t="s">
        <v>1021</v>
      </c>
      <c r="Q402" s="3" t="s">
        <v>32</v>
      </c>
      <c r="R402" s="3" t="s">
        <v>33</v>
      </c>
      <c r="S402" s="4"/>
    </row>
    <row r="403" spans="1:19" ht="17.45">
      <c r="A403" s="3">
        <f>SUBTOTAL(103,$B$4:B403)</f>
        <v>400</v>
      </c>
      <c r="B403" s="8">
        <v>377011</v>
      </c>
      <c r="C403" s="5" t="s">
        <v>1022</v>
      </c>
      <c r="D403" s="4" t="s">
        <v>35</v>
      </c>
      <c r="E403" s="4" t="s">
        <v>1013</v>
      </c>
      <c r="F403" s="30">
        <v>43277</v>
      </c>
      <c r="G403" s="19" t="s">
        <v>26</v>
      </c>
      <c r="H403" s="19" t="str">
        <f t="shared" ca="1" si="6"/>
        <v>7 Years, 11 Months, 8 Days</v>
      </c>
      <c r="I403" s="4" t="s">
        <v>1023</v>
      </c>
      <c r="J403" s="4" t="s">
        <v>28</v>
      </c>
      <c r="K403" s="6">
        <v>1676122543</v>
      </c>
      <c r="L403" s="6">
        <v>1713020545</v>
      </c>
      <c r="M403" s="9">
        <v>282132</v>
      </c>
      <c r="N403" s="4" t="s">
        <v>696</v>
      </c>
      <c r="O403" s="4" t="s">
        <v>30</v>
      </c>
      <c r="P403" s="4" t="s">
        <v>1021</v>
      </c>
      <c r="Q403" s="3" t="s">
        <v>32</v>
      </c>
      <c r="R403" s="3" t="s">
        <v>33</v>
      </c>
      <c r="S403" s="4"/>
    </row>
    <row r="404" spans="1:19" ht="17.45">
      <c r="A404" s="3">
        <f>SUBTOTAL(103,$B$4:B404)</f>
        <v>401</v>
      </c>
      <c r="B404" s="8">
        <v>401711</v>
      </c>
      <c r="C404" s="5" t="s">
        <v>1024</v>
      </c>
      <c r="D404" s="4" t="s">
        <v>35</v>
      </c>
      <c r="E404" s="4" t="s">
        <v>1013</v>
      </c>
      <c r="F404" s="30">
        <v>43405</v>
      </c>
      <c r="G404" s="19" t="s">
        <v>26</v>
      </c>
      <c r="H404" s="19" t="str">
        <f t="shared" ca="1" si="6"/>
        <v>7 Years, 7 Months, 2 Days</v>
      </c>
      <c r="I404" s="4" t="s">
        <v>1025</v>
      </c>
      <c r="J404" s="4" t="s">
        <v>28</v>
      </c>
      <c r="K404" s="6">
        <v>1738500158</v>
      </c>
      <c r="L404" s="6">
        <v>1713020562</v>
      </c>
      <c r="M404" s="9">
        <v>282132</v>
      </c>
      <c r="N404" s="4" t="s">
        <v>696</v>
      </c>
      <c r="O404" s="4" t="s">
        <v>30</v>
      </c>
      <c r="P404" s="4" t="s">
        <v>1021</v>
      </c>
      <c r="Q404" s="3" t="s">
        <v>32</v>
      </c>
      <c r="R404" s="3" t="s">
        <v>33</v>
      </c>
      <c r="S404" s="4"/>
    </row>
    <row r="405" spans="1:19" ht="17.45">
      <c r="A405" s="3">
        <f>SUBTOTAL(103,$B$4:B405)</f>
        <v>402</v>
      </c>
      <c r="B405" s="8">
        <v>492133</v>
      </c>
      <c r="C405" s="5" t="s">
        <v>1026</v>
      </c>
      <c r="D405" s="4" t="s">
        <v>48</v>
      </c>
      <c r="E405" s="4" t="s">
        <v>1013</v>
      </c>
      <c r="F405" s="30">
        <v>44065</v>
      </c>
      <c r="G405" s="19" t="s">
        <v>26</v>
      </c>
      <c r="H405" s="19" t="str">
        <f t="shared" ca="1" si="6"/>
        <v>5 Years, 9 Months, 12 Days</v>
      </c>
      <c r="I405" s="4" t="s">
        <v>1027</v>
      </c>
      <c r="J405" s="4" t="s">
        <v>28</v>
      </c>
      <c r="K405" s="6">
        <v>1781370444</v>
      </c>
      <c r="L405" s="6">
        <v>1755516395</v>
      </c>
      <c r="M405" s="9">
        <v>282132</v>
      </c>
      <c r="N405" s="4" t="s">
        <v>696</v>
      </c>
      <c r="O405" s="4" t="s">
        <v>30</v>
      </c>
      <c r="P405" s="4" t="s">
        <v>1021</v>
      </c>
      <c r="Q405" s="3" t="s">
        <v>32</v>
      </c>
      <c r="R405" s="3" t="s">
        <v>33</v>
      </c>
      <c r="S405" s="4"/>
    </row>
    <row r="406" spans="1:19" ht="17.45">
      <c r="A406" s="3">
        <f>SUBTOTAL(103,$B$4:B406)</f>
        <v>403</v>
      </c>
      <c r="B406" s="8">
        <v>536480</v>
      </c>
      <c r="C406" s="5" t="s">
        <v>1028</v>
      </c>
      <c r="D406" s="4" t="s">
        <v>35</v>
      </c>
      <c r="E406" s="4" t="s">
        <v>1013</v>
      </c>
      <c r="F406" s="30">
        <v>45020</v>
      </c>
      <c r="G406" s="19" t="s">
        <v>26</v>
      </c>
      <c r="H406" s="19" t="str">
        <f t="shared" ca="1" si="6"/>
        <v>3 Years, 1 Months, 30 Days</v>
      </c>
      <c r="I406" s="4" t="s">
        <v>1029</v>
      </c>
      <c r="J406" s="4" t="s">
        <v>28</v>
      </c>
      <c r="K406" s="6">
        <v>1917780464</v>
      </c>
      <c r="L406" s="6">
        <v>1324762476</v>
      </c>
      <c r="M406" s="9">
        <v>282132</v>
      </c>
      <c r="N406" s="4" t="s">
        <v>696</v>
      </c>
      <c r="O406" s="4" t="s">
        <v>30</v>
      </c>
      <c r="P406" s="4" t="s">
        <v>1021</v>
      </c>
      <c r="Q406" s="3" t="s">
        <v>32</v>
      </c>
      <c r="R406" s="3" t="s">
        <v>33</v>
      </c>
      <c r="S406" s="4"/>
    </row>
    <row r="407" spans="1:19" ht="17.45">
      <c r="A407" s="3">
        <f>SUBTOTAL(103,$B$4:B407)</f>
        <v>404</v>
      </c>
      <c r="B407" s="8">
        <v>282132</v>
      </c>
      <c r="C407" s="5" t="s">
        <v>696</v>
      </c>
      <c r="D407" s="4" t="s">
        <v>30</v>
      </c>
      <c r="E407" s="4" t="s">
        <v>1013</v>
      </c>
      <c r="F407" s="30">
        <v>42749</v>
      </c>
      <c r="G407" s="19" t="s">
        <v>26</v>
      </c>
      <c r="H407" s="19" t="str">
        <f t="shared" ca="1" si="6"/>
        <v>9 Years, 4 Months, 20 Days</v>
      </c>
      <c r="I407" s="4" t="s">
        <v>1021</v>
      </c>
      <c r="J407" s="4" t="s">
        <v>28</v>
      </c>
      <c r="K407" s="6">
        <v>1715224407</v>
      </c>
      <c r="L407" s="6">
        <v>1755630240</v>
      </c>
      <c r="M407" s="9">
        <v>530796</v>
      </c>
      <c r="N407" s="4" t="s">
        <v>813</v>
      </c>
      <c r="O407" s="4" t="s">
        <v>129</v>
      </c>
      <c r="P407" s="4" t="s">
        <v>814</v>
      </c>
      <c r="Q407" s="3" t="s">
        <v>32</v>
      </c>
      <c r="R407" s="3" t="s">
        <v>33</v>
      </c>
      <c r="S407" s="4"/>
    </row>
    <row r="408" spans="1:19" ht="17.45">
      <c r="A408" s="3">
        <f>SUBTOTAL(103,$B$4:B408)</f>
        <v>405</v>
      </c>
      <c r="B408" s="8">
        <v>1333</v>
      </c>
      <c r="C408" s="5" t="s">
        <v>1015</v>
      </c>
      <c r="D408" s="4" t="s">
        <v>30</v>
      </c>
      <c r="E408" s="4" t="s">
        <v>1013</v>
      </c>
      <c r="F408" s="30">
        <v>40567</v>
      </c>
      <c r="G408" s="19" t="s">
        <v>144</v>
      </c>
      <c r="H408" s="19" t="str">
        <f t="shared" ca="1" si="6"/>
        <v>15 Years, 4 Months, 10 Days</v>
      </c>
      <c r="I408" s="4" t="s">
        <v>1016</v>
      </c>
      <c r="J408" s="4" t="s">
        <v>146</v>
      </c>
      <c r="K408" s="6">
        <v>1906066309</v>
      </c>
      <c r="L408" s="6">
        <v>1755524955</v>
      </c>
      <c r="M408" s="9">
        <v>530796</v>
      </c>
      <c r="N408" s="4" t="s">
        <v>813</v>
      </c>
      <c r="O408" s="4" t="s">
        <v>129</v>
      </c>
      <c r="P408" s="4" t="s">
        <v>814</v>
      </c>
      <c r="Q408" s="3" t="s">
        <v>32</v>
      </c>
      <c r="R408" s="3" t="s">
        <v>33</v>
      </c>
      <c r="S408" s="4"/>
    </row>
    <row r="409" spans="1:19" ht="17.45">
      <c r="A409" s="3">
        <f>SUBTOTAL(103,$B$4:B409)</f>
        <v>406</v>
      </c>
      <c r="B409" s="8">
        <v>529349</v>
      </c>
      <c r="C409" s="5" t="s">
        <v>1030</v>
      </c>
      <c r="D409" s="4" t="s">
        <v>24</v>
      </c>
      <c r="E409" s="4" t="s">
        <v>1031</v>
      </c>
      <c r="F409" s="30">
        <v>44713</v>
      </c>
      <c r="G409" s="19" t="s">
        <v>56</v>
      </c>
      <c r="H409" s="19" t="str">
        <f t="shared" ca="1" si="6"/>
        <v>4 Years, 0 Months, 2 Days</v>
      </c>
      <c r="I409" s="4" t="s">
        <v>1032</v>
      </c>
      <c r="J409" s="4" t="s">
        <v>58</v>
      </c>
      <c r="K409" s="6">
        <v>1324762722</v>
      </c>
      <c r="L409" s="6">
        <v>1324762722</v>
      </c>
      <c r="M409" s="9">
        <v>1356</v>
      </c>
      <c r="N409" s="4" t="s">
        <v>233</v>
      </c>
      <c r="O409" s="4" t="s">
        <v>106</v>
      </c>
      <c r="P409" s="4" t="s">
        <v>234</v>
      </c>
      <c r="Q409" s="3" t="s">
        <v>32</v>
      </c>
      <c r="R409" s="3" t="s">
        <v>33</v>
      </c>
      <c r="S409" s="4"/>
    </row>
    <row r="410" spans="1:19" ht="17.45">
      <c r="A410" s="3">
        <f>SUBTOTAL(103,$B$4:B410)</f>
        <v>407</v>
      </c>
      <c r="B410" s="8">
        <v>229505</v>
      </c>
      <c r="C410" s="5" t="s">
        <v>1033</v>
      </c>
      <c r="D410" s="4" t="s">
        <v>24</v>
      </c>
      <c r="E410" s="4" t="s">
        <v>1034</v>
      </c>
      <c r="F410" s="30">
        <v>42418</v>
      </c>
      <c r="G410" s="19" t="s">
        <v>26</v>
      </c>
      <c r="H410" s="19" t="str">
        <f t="shared" ca="1" si="6"/>
        <v>10 Years, 3 Months, 16 Days</v>
      </c>
      <c r="I410" s="4" t="s">
        <v>1035</v>
      </c>
      <c r="J410" s="4" t="s">
        <v>28</v>
      </c>
      <c r="K410" s="6">
        <v>1714794991</v>
      </c>
      <c r="L410" s="6">
        <v>1755630247</v>
      </c>
      <c r="M410" s="9">
        <v>111295</v>
      </c>
      <c r="N410" s="4" t="s">
        <v>463</v>
      </c>
      <c r="O410" s="4" t="s">
        <v>129</v>
      </c>
      <c r="P410" s="4" t="s">
        <v>465</v>
      </c>
      <c r="Q410" s="3" t="s">
        <v>32</v>
      </c>
      <c r="R410" s="3" t="s">
        <v>33</v>
      </c>
      <c r="S410" s="4"/>
    </row>
    <row r="411" spans="1:19" ht="17.45">
      <c r="A411" s="3">
        <f>SUBTOTAL(103,$B$4:B411)</f>
        <v>408</v>
      </c>
      <c r="B411" s="8">
        <v>529520</v>
      </c>
      <c r="C411" s="5" t="s">
        <v>1036</v>
      </c>
      <c r="D411" s="4" t="s">
        <v>35</v>
      </c>
      <c r="E411" s="4" t="s">
        <v>1034</v>
      </c>
      <c r="F411" s="30">
        <v>44724</v>
      </c>
      <c r="G411" s="19" t="s">
        <v>26</v>
      </c>
      <c r="H411" s="19" t="str">
        <f t="shared" ca="1" si="6"/>
        <v>3 Years, 11 Months, 22 Days</v>
      </c>
      <c r="I411" s="4" t="s">
        <v>1037</v>
      </c>
      <c r="J411" s="4" t="s">
        <v>28</v>
      </c>
      <c r="K411" s="6">
        <v>1755630224</v>
      </c>
      <c r="L411" s="6">
        <v>1755630224</v>
      </c>
      <c r="M411" s="9">
        <v>111295</v>
      </c>
      <c r="N411" s="4" t="s">
        <v>463</v>
      </c>
      <c r="O411" s="4" t="s">
        <v>129</v>
      </c>
      <c r="P411" s="4" t="s">
        <v>465</v>
      </c>
      <c r="Q411" s="3" t="s">
        <v>32</v>
      </c>
      <c r="R411" s="3" t="s">
        <v>33</v>
      </c>
      <c r="S411" s="4"/>
    </row>
    <row r="412" spans="1:19" ht="17.45">
      <c r="A412" s="3">
        <f>SUBTOTAL(103,$B$4:B412)</f>
        <v>409</v>
      </c>
      <c r="B412" s="8">
        <v>560275</v>
      </c>
      <c r="C412" s="5" t="s">
        <v>1038</v>
      </c>
      <c r="D412" s="4" t="s">
        <v>48</v>
      </c>
      <c r="E412" s="4" t="s">
        <v>1039</v>
      </c>
      <c r="F412" s="30">
        <v>46002</v>
      </c>
      <c r="G412" s="19" t="s">
        <v>144</v>
      </c>
      <c r="H412" s="19" t="str">
        <f t="shared" ca="1" si="6"/>
        <v>0 Years, 5 Months, 23 Days</v>
      </c>
      <c r="I412" s="4" t="s">
        <v>1040</v>
      </c>
      <c r="J412" s="4" t="s">
        <v>146</v>
      </c>
      <c r="K412" s="6">
        <v>1757519065</v>
      </c>
      <c r="L412" s="6" t="s">
        <v>42</v>
      </c>
      <c r="M412" s="9">
        <v>58588</v>
      </c>
      <c r="N412" s="4" t="s">
        <v>1041</v>
      </c>
      <c r="O412" s="4" t="s">
        <v>61</v>
      </c>
      <c r="P412" s="4" t="s">
        <v>1042</v>
      </c>
      <c r="Q412" s="3" t="s">
        <v>32</v>
      </c>
      <c r="R412" s="3" t="s">
        <v>33</v>
      </c>
      <c r="S412" s="4"/>
    </row>
    <row r="413" spans="1:19" ht="17.45">
      <c r="A413" s="3">
        <f>SUBTOTAL(103,$B$4:B413)</f>
        <v>410</v>
      </c>
      <c r="B413" s="8">
        <v>558565</v>
      </c>
      <c r="C413" s="5" t="s">
        <v>1043</v>
      </c>
      <c r="D413" s="4" t="s">
        <v>48</v>
      </c>
      <c r="E413" s="4" t="s">
        <v>1039</v>
      </c>
      <c r="F413" s="30">
        <v>45951</v>
      </c>
      <c r="G413" s="19" t="s">
        <v>152</v>
      </c>
      <c r="H413" s="19" t="str">
        <f t="shared" ca="1" si="6"/>
        <v>0 Years, 7 Months, 13 Days</v>
      </c>
      <c r="I413" s="4" t="s">
        <v>1044</v>
      </c>
      <c r="J413" s="4" t="s">
        <v>154</v>
      </c>
      <c r="K413" s="6">
        <v>1335128839</v>
      </c>
      <c r="L413" s="6" t="s">
        <v>42</v>
      </c>
      <c r="M413" s="9">
        <v>58588</v>
      </c>
      <c r="N413" s="4" t="s">
        <v>1041</v>
      </c>
      <c r="O413" s="4" t="s">
        <v>61</v>
      </c>
      <c r="P413" s="4" t="s">
        <v>1042</v>
      </c>
      <c r="Q413" s="3" t="s">
        <v>32</v>
      </c>
      <c r="R413" s="3" t="s">
        <v>33</v>
      </c>
      <c r="S413" s="4"/>
    </row>
    <row r="414" spans="1:19" ht="17.45">
      <c r="A414" s="3">
        <f>SUBTOTAL(103,$B$4:B414)</f>
        <v>411</v>
      </c>
      <c r="B414" s="8">
        <v>552292</v>
      </c>
      <c r="C414" s="5" t="s">
        <v>1045</v>
      </c>
      <c r="D414" s="4" t="s">
        <v>35</v>
      </c>
      <c r="E414" s="4" t="s">
        <v>1039</v>
      </c>
      <c r="F414" s="30">
        <v>45763</v>
      </c>
      <c r="G414" s="19" t="s">
        <v>144</v>
      </c>
      <c r="H414" s="19" t="str">
        <f t="shared" ca="1" si="6"/>
        <v>1 Years, 1 Months, 18 Days</v>
      </c>
      <c r="I414" s="4" t="s">
        <v>1046</v>
      </c>
      <c r="J414" s="4" t="s">
        <v>146</v>
      </c>
      <c r="K414" s="6">
        <v>1689145860</v>
      </c>
      <c r="L414" s="6" t="s">
        <v>42</v>
      </c>
      <c r="M414" s="9">
        <v>77872</v>
      </c>
      <c r="N414" s="4" t="s">
        <v>1047</v>
      </c>
      <c r="O414" s="4" t="s">
        <v>250</v>
      </c>
      <c r="P414" s="4" t="s">
        <v>1048</v>
      </c>
      <c r="Q414" s="3" t="s">
        <v>32</v>
      </c>
      <c r="R414" s="3" t="s">
        <v>33</v>
      </c>
      <c r="S414" s="4"/>
    </row>
    <row r="415" spans="1:19" ht="17.45">
      <c r="A415" s="3">
        <f>SUBTOTAL(103,$B$4:B415)</f>
        <v>412</v>
      </c>
      <c r="B415" s="8">
        <v>560520</v>
      </c>
      <c r="C415" s="5" t="s">
        <v>1049</v>
      </c>
      <c r="D415" s="4" t="s">
        <v>48</v>
      </c>
      <c r="E415" s="4" t="s">
        <v>1039</v>
      </c>
      <c r="F415" s="30">
        <v>46009</v>
      </c>
      <c r="G415" s="19" t="s">
        <v>26</v>
      </c>
      <c r="H415" s="19" t="str">
        <f t="shared" ca="1" si="6"/>
        <v>0 Years, 5 Months, 16 Days</v>
      </c>
      <c r="I415" s="4" t="s">
        <v>1050</v>
      </c>
      <c r="J415" s="4" t="s">
        <v>28</v>
      </c>
      <c r="K415" s="6"/>
      <c r="L415" s="6"/>
      <c r="M415" s="9">
        <v>77872</v>
      </c>
      <c r="N415" s="4" t="s">
        <v>1047</v>
      </c>
      <c r="O415" s="4" t="s">
        <v>250</v>
      </c>
      <c r="P415" s="4" t="s">
        <v>1048</v>
      </c>
      <c r="Q415" s="3" t="s">
        <v>32</v>
      </c>
      <c r="R415" s="3" t="s">
        <v>33</v>
      </c>
      <c r="S415" s="4"/>
    </row>
    <row r="416" spans="1:19" ht="17.45">
      <c r="A416" s="3">
        <f>SUBTOTAL(103,$B$4:B416)</f>
        <v>413</v>
      </c>
      <c r="B416" s="8">
        <v>560565</v>
      </c>
      <c r="C416" s="5" t="s">
        <v>1051</v>
      </c>
      <c r="D416" s="4" t="s">
        <v>48</v>
      </c>
      <c r="E416" s="4" t="s">
        <v>1039</v>
      </c>
      <c r="F416" s="30">
        <v>46012</v>
      </c>
      <c r="G416" s="19" t="s">
        <v>26</v>
      </c>
      <c r="H416" s="19" t="str">
        <f t="shared" ca="1" si="6"/>
        <v>0 Years, 5 Months, 13 Days</v>
      </c>
      <c r="I416" s="4" t="s">
        <v>1052</v>
      </c>
      <c r="J416" s="4" t="s">
        <v>28</v>
      </c>
      <c r="K416" s="6"/>
      <c r="L416" s="6"/>
      <c r="M416" s="9">
        <v>77872</v>
      </c>
      <c r="N416" s="4" t="s">
        <v>1047</v>
      </c>
      <c r="O416" s="4" t="s">
        <v>250</v>
      </c>
      <c r="P416" s="4" t="s">
        <v>1048</v>
      </c>
      <c r="Q416" s="3" t="s">
        <v>32</v>
      </c>
      <c r="R416" s="3" t="s">
        <v>33</v>
      </c>
      <c r="S416" s="4"/>
    </row>
    <row r="417" spans="1:19" ht="17.45">
      <c r="A417" s="3">
        <f>SUBTOTAL(103,$B$4:B417)</f>
        <v>414</v>
      </c>
      <c r="B417" s="8">
        <v>77872</v>
      </c>
      <c r="C417" s="5" t="s">
        <v>1047</v>
      </c>
      <c r="D417" s="4" t="s">
        <v>250</v>
      </c>
      <c r="E417" s="4" t="s">
        <v>1039</v>
      </c>
      <c r="F417" s="30">
        <v>41407</v>
      </c>
      <c r="G417" s="19" t="s">
        <v>26</v>
      </c>
      <c r="H417" s="19" t="str">
        <f t="shared" ca="1" si="6"/>
        <v>13 Years, 0 Months, 21 Days</v>
      </c>
      <c r="I417" s="4" t="s">
        <v>1048</v>
      </c>
      <c r="J417" s="4" t="s">
        <v>28</v>
      </c>
      <c r="K417" s="6">
        <v>1723745343</v>
      </c>
      <c r="L417" s="6">
        <v>1777717979</v>
      </c>
      <c r="M417" s="9">
        <v>540363</v>
      </c>
      <c r="N417" s="4" t="s">
        <v>210</v>
      </c>
      <c r="O417" s="4" t="s">
        <v>211</v>
      </c>
      <c r="P417" s="4" t="s">
        <v>212</v>
      </c>
      <c r="Q417" s="3" t="s">
        <v>32</v>
      </c>
      <c r="R417" s="3" t="s">
        <v>124</v>
      </c>
      <c r="S417" s="4" t="s">
        <v>1053</v>
      </c>
    </row>
    <row r="418" spans="1:19" ht="17.45">
      <c r="A418" s="3">
        <f>SUBTOTAL(103,$B$4:B418)</f>
        <v>415</v>
      </c>
      <c r="B418" s="8">
        <v>58588</v>
      </c>
      <c r="C418" s="5" t="s">
        <v>1041</v>
      </c>
      <c r="D418" s="4" t="s">
        <v>61</v>
      </c>
      <c r="E418" s="4" t="s">
        <v>1039</v>
      </c>
      <c r="F418" s="30">
        <v>40411</v>
      </c>
      <c r="G418" s="19" t="s">
        <v>26</v>
      </c>
      <c r="H418" s="19" t="str">
        <f t="shared" ca="1" si="6"/>
        <v>15 Years, 9 Months, 13 Days</v>
      </c>
      <c r="I418" s="4" t="s">
        <v>1042</v>
      </c>
      <c r="J418" s="4" t="s">
        <v>28</v>
      </c>
      <c r="K418" s="6">
        <v>1755630206</v>
      </c>
      <c r="L418" s="6">
        <v>1755630206</v>
      </c>
      <c r="M418" s="14"/>
      <c r="N418" s="18" t="s">
        <v>175</v>
      </c>
      <c r="O418" s="4" t="s">
        <v>175</v>
      </c>
      <c r="P418" s="4" t="s">
        <v>175</v>
      </c>
      <c r="Q418" s="3" t="s">
        <v>32</v>
      </c>
      <c r="R418" s="3" t="s">
        <v>33</v>
      </c>
      <c r="S418" s="4"/>
    </row>
    <row r="419" spans="1:19" ht="17.45">
      <c r="A419" s="3">
        <f>SUBTOTAL(103,$B$4:B419)</f>
        <v>416</v>
      </c>
      <c r="B419" s="8">
        <v>153286</v>
      </c>
      <c r="C419" s="5" t="s">
        <v>1054</v>
      </c>
      <c r="D419" s="4" t="s">
        <v>38</v>
      </c>
      <c r="E419" s="4" t="s">
        <v>1055</v>
      </c>
      <c r="F419" s="30">
        <v>41954</v>
      </c>
      <c r="G419" s="19" t="s">
        <v>533</v>
      </c>
      <c r="H419" s="19" t="str">
        <f t="shared" ca="1" si="6"/>
        <v>11 Years, 6 Months, 23 Days</v>
      </c>
      <c r="I419" s="4" t="s">
        <v>1056</v>
      </c>
      <c r="J419" s="4" t="s">
        <v>146</v>
      </c>
      <c r="K419" s="6">
        <v>1670767660</v>
      </c>
      <c r="L419" s="6">
        <v>1313014641</v>
      </c>
      <c r="M419" s="9">
        <v>75082</v>
      </c>
      <c r="N419" s="4" t="s">
        <v>1057</v>
      </c>
      <c r="O419" s="4" t="s">
        <v>35</v>
      </c>
      <c r="P419" s="4" t="s">
        <v>1058</v>
      </c>
      <c r="Q419" s="3" t="s">
        <v>32</v>
      </c>
      <c r="R419" s="3" t="s">
        <v>33</v>
      </c>
      <c r="S419" s="4"/>
    </row>
    <row r="420" spans="1:19" ht="17.45">
      <c r="A420" s="3">
        <f>SUBTOTAL(103,$B$4:B420)</f>
        <v>417</v>
      </c>
      <c r="B420" s="8">
        <v>553962</v>
      </c>
      <c r="C420" s="5" t="s">
        <v>1059</v>
      </c>
      <c r="D420" s="4" t="s">
        <v>48</v>
      </c>
      <c r="E420" s="4" t="s">
        <v>1055</v>
      </c>
      <c r="F420" s="30">
        <v>45823</v>
      </c>
      <c r="G420" s="19" t="s">
        <v>152</v>
      </c>
      <c r="H420" s="19" t="str">
        <f t="shared" ca="1" si="6"/>
        <v>0 Years, 11 Months, 19 Days</v>
      </c>
      <c r="I420" s="4" t="s">
        <v>1060</v>
      </c>
      <c r="J420" s="4" t="s">
        <v>154</v>
      </c>
      <c r="K420" s="6" t="s">
        <v>1061</v>
      </c>
      <c r="L420" s="6"/>
      <c r="M420" s="9">
        <v>111295</v>
      </c>
      <c r="N420" s="4" t="s">
        <v>463</v>
      </c>
      <c r="O420" s="4" t="s">
        <v>129</v>
      </c>
      <c r="P420" s="4" t="s">
        <v>1062</v>
      </c>
      <c r="Q420" s="3" t="s">
        <v>32</v>
      </c>
      <c r="R420" s="3" t="s">
        <v>33</v>
      </c>
      <c r="S420" s="4"/>
    </row>
    <row r="421" spans="1:19" ht="17.45">
      <c r="A421" s="3">
        <f>SUBTOTAL(103,$B$4:B421)</f>
        <v>418</v>
      </c>
      <c r="B421" s="8">
        <v>75070</v>
      </c>
      <c r="C421" s="5" t="s">
        <v>1063</v>
      </c>
      <c r="D421" s="4" t="s">
        <v>24</v>
      </c>
      <c r="E421" s="4" t="s">
        <v>1055</v>
      </c>
      <c r="F421" s="30">
        <v>40644</v>
      </c>
      <c r="G421" s="19" t="s">
        <v>190</v>
      </c>
      <c r="H421" s="19" t="str">
        <f t="shared" ca="1" si="6"/>
        <v>15 Years, 1 Months, 23 Days</v>
      </c>
      <c r="I421" s="4" t="s">
        <v>1064</v>
      </c>
      <c r="J421" s="4" t="s">
        <v>28</v>
      </c>
      <c r="K421" s="6">
        <v>1925425588</v>
      </c>
      <c r="L421" s="6">
        <v>1313014631</v>
      </c>
      <c r="M421" s="9">
        <v>480036</v>
      </c>
      <c r="N421" s="4" t="s">
        <v>1065</v>
      </c>
      <c r="O421" s="4" t="s">
        <v>250</v>
      </c>
      <c r="P421" s="4" t="s">
        <v>1066</v>
      </c>
      <c r="Q421" s="3" t="s">
        <v>32</v>
      </c>
      <c r="R421" s="3" t="s">
        <v>33</v>
      </c>
      <c r="S421" s="4"/>
    </row>
    <row r="422" spans="1:19" ht="17.45">
      <c r="A422" s="3">
        <f>SUBTOTAL(103,$B$4:B422)</f>
        <v>419</v>
      </c>
      <c r="B422" s="8">
        <v>75082</v>
      </c>
      <c r="C422" s="5" t="s">
        <v>1057</v>
      </c>
      <c r="D422" s="4" t="s">
        <v>35</v>
      </c>
      <c r="E422" s="4" t="s">
        <v>1055</v>
      </c>
      <c r="F422" s="30">
        <v>41228</v>
      </c>
      <c r="G422" s="19" t="s">
        <v>190</v>
      </c>
      <c r="H422" s="19" t="str">
        <f t="shared" ca="1" si="6"/>
        <v>13 Years, 6 Months, 19 Days</v>
      </c>
      <c r="I422" s="4" t="s">
        <v>1058</v>
      </c>
      <c r="J422" s="4" t="s">
        <v>28</v>
      </c>
      <c r="K422" s="6">
        <v>1912605625</v>
      </c>
      <c r="L422" s="6">
        <v>1313014636</v>
      </c>
      <c r="M422" s="9">
        <v>480036</v>
      </c>
      <c r="N422" s="4" t="s">
        <v>1065</v>
      </c>
      <c r="O422" s="4" t="s">
        <v>250</v>
      </c>
      <c r="P422" s="4" t="s">
        <v>1066</v>
      </c>
      <c r="Q422" s="3" t="s">
        <v>32</v>
      </c>
      <c r="R422" s="3" t="s">
        <v>33</v>
      </c>
      <c r="S422" s="4"/>
    </row>
    <row r="423" spans="1:19" ht="17.45">
      <c r="A423" s="3">
        <f>SUBTOTAL(103,$B$4:B423)</f>
        <v>420</v>
      </c>
      <c r="B423" s="8">
        <v>523522</v>
      </c>
      <c r="C423" s="5" t="s">
        <v>1067</v>
      </c>
      <c r="D423" s="4" t="s">
        <v>24</v>
      </c>
      <c r="E423" s="4" t="s">
        <v>1055</v>
      </c>
      <c r="F423" s="30">
        <v>44410</v>
      </c>
      <c r="G423" s="19" t="s">
        <v>190</v>
      </c>
      <c r="H423" s="19" t="str">
        <f t="shared" ca="1" si="6"/>
        <v>4 Years, 10 Months, 1 Days</v>
      </c>
      <c r="I423" s="4" t="s">
        <v>1068</v>
      </c>
      <c r="J423" s="4" t="s">
        <v>28</v>
      </c>
      <c r="K423" s="6">
        <v>1670127582</v>
      </c>
      <c r="L423" s="6">
        <v>1755516507</v>
      </c>
      <c r="M423" s="9">
        <v>480036</v>
      </c>
      <c r="N423" s="4" t="s">
        <v>1065</v>
      </c>
      <c r="O423" s="4" t="s">
        <v>250</v>
      </c>
      <c r="P423" s="4" t="s">
        <v>1066</v>
      </c>
      <c r="Q423" s="3" t="s">
        <v>32</v>
      </c>
      <c r="R423" s="3" t="s">
        <v>33</v>
      </c>
      <c r="S423" s="4"/>
    </row>
    <row r="424" spans="1:19" ht="17.45">
      <c r="A424" s="3">
        <f>SUBTOTAL(103,$B$4:B424)</f>
        <v>421</v>
      </c>
      <c r="B424" s="8">
        <v>539567</v>
      </c>
      <c r="C424" s="5" t="s">
        <v>1069</v>
      </c>
      <c r="D424" s="4" t="s">
        <v>38</v>
      </c>
      <c r="E424" s="4" t="s">
        <v>1055</v>
      </c>
      <c r="F424" s="30">
        <v>45218</v>
      </c>
      <c r="G424" s="19" t="s">
        <v>190</v>
      </c>
      <c r="H424" s="19" t="str">
        <f t="shared" ca="1" si="6"/>
        <v>2 Years, 7 Months, 15 Days</v>
      </c>
      <c r="I424" s="4" t="s">
        <v>1070</v>
      </c>
      <c r="J424" s="4" t="s">
        <v>28</v>
      </c>
      <c r="K424" s="6">
        <v>1817989899</v>
      </c>
      <c r="L424" s="6" t="s">
        <v>42</v>
      </c>
      <c r="M424" s="9">
        <v>480036</v>
      </c>
      <c r="N424" s="4" t="s">
        <v>1065</v>
      </c>
      <c r="O424" s="4" t="s">
        <v>250</v>
      </c>
      <c r="P424" s="4" t="s">
        <v>1066</v>
      </c>
      <c r="Q424" s="3" t="s">
        <v>32</v>
      </c>
      <c r="R424" s="3" t="s">
        <v>33</v>
      </c>
      <c r="S424" s="4"/>
    </row>
    <row r="425" spans="1:19" ht="17.45">
      <c r="A425" s="3">
        <f>SUBTOTAL(103,$B$4:B425)</f>
        <v>422</v>
      </c>
      <c r="B425" s="8">
        <v>539904</v>
      </c>
      <c r="C425" s="5" t="s">
        <v>1071</v>
      </c>
      <c r="D425" s="4" t="s">
        <v>35</v>
      </c>
      <c r="E425" s="4" t="s">
        <v>1055</v>
      </c>
      <c r="F425" s="30">
        <v>45235</v>
      </c>
      <c r="G425" s="19" t="s">
        <v>190</v>
      </c>
      <c r="H425" s="19" t="str">
        <f t="shared" ca="1" si="6"/>
        <v>2 Years, 6 Months, 29 Days</v>
      </c>
      <c r="I425" s="4" t="s">
        <v>1072</v>
      </c>
      <c r="J425" s="4" t="s">
        <v>28</v>
      </c>
      <c r="K425" s="6">
        <v>1714625323</v>
      </c>
      <c r="L425" s="6" t="s">
        <v>42</v>
      </c>
      <c r="M425" s="9">
        <v>480036</v>
      </c>
      <c r="N425" s="4" t="s">
        <v>1065</v>
      </c>
      <c r="O425" s="4" t="s">
        <v>250</v>
      </c>
      <c r="P425" s="4" t="s">
        <v>1066</v>
      </c>
      <c r="Q425" s="3" t="s">
        <v>32</v>
      </c>
      <c r="R425" s="3" t="s">
        <v>33</v>
      </c>
      <c r="S425" s="4"/>
    </row>
    <row r="426" spans="1:19" ht="17.45">
      <c r="A426" s="3">
        <f>SUBTOTAL(103,$B$4:B426)</f>
        <v>423</v>
      </c>
      <c r="B426" s="8">
        <v>540511</v>
      </c>
      <c r="C426" s="5" t="s">
        <v>1073</v>
      </c>
      <c r="D426" s="4" t="s">
        <v>35</v>
      </c>
      <c r="E426" s="4" t="s">
        <v>1055</v>
      </c>
      <c r="F426" s="30">
        <v>45280</v>
      </c>
      <c r="G426" s="19" t="s">
        <v>190</v>
      </c>
      <c r="H426" s="19" t="str">
        <f t="shared" ca="1" si="6"/>
        <v>2 Years, 5 Months, 14 Days</v>
      </c>
      <c r="I426" s="4" t="s">
        <v>1074</v>
      </c>
      <c r="J426" s="4" t="s">
        <v>28</v>
      </c>
      <c r="K426" s="6">
        <v>1903977820</v>
      </c>
      <c r="L426" s="6">
        <v>1313014633</v>
      </c>
      <c r="M426" s="9">
        <v>480036</v>
      </c>
      <c r="N426" s="4" t="s">
        <v>1065</v>
      </c>
      <c r="O426" s="4" t="s">
        <v>250</v>
      </c>
      <c r="P426" s="4" t="s">
        <v>1066</v>
      </c>
      <c r="Q426" s="3" t="s">
        <v>32</v>
      </c>
      <c r="R426" s="3" t="s">
        <v>33</v>
      </c>
      <c r="S426" s="4"/>
    </row>
    <row r="427" spans="1:19" ht="17.45">
      <c r="A427" s="3">
        <f>SUBTOTAL(103,$B$4:B427)</f>
        <v>424</v>
      </c>
      <c r="B427" s="8">
        <v>543004</v>
      </c>
      <c r="C427" s="5" t="s">
        <v>1075</v>
      </c>
      <c r="D427" s="4" t="s">
        <v>48</v>
      </c>
      <c r="E427" s="4" t="s">
        <v>1055</v>
      </c>
      <c r="F427" s="30">
        <v>45418</v>
      </c>
      <c r="G427" s="19" t="s">
        <v>190</v>
      </c>
      <c r="H427" s="19" t="str">
        <f t="shared" ca="1" si="6"/>
        <v>2 Years, 0 Months, 28 Days</v>
      </c>
      <c r="I427" s="4" t="s">
        <v>1076</v>
      </c>
      <c r="J427" s="4" t="s">
        <v>28</v>
      </c>
      <c r="K427" s="6">
        <v>1829888649</v>
      </c>
      <c r="L427" s="6" t="s">
        <v>42</v>
      </c>
      <c r="M427" s="9">
        <v>523522</v>
      </c>
      <c r="N427" s="4" t="s">
        <v>1067</v>
      </c>
      <c r="O427" s="4" t="s">
        <v>24</v>
      </c>
      <c r="P427" s="4" t="s">
        <v>1068</v>
      </c>
      <c r="Q427" s="3" t="s">
        <v>32</v>
      </c>
      <c r="R427" s="3" t="s">
        <v>33</v>
      </c>
      <c r="S427" s="4"/>
    </row>
    <row r="428" spans="1:19" ht="17.45">
      <c r="A428" s="3">
        <f>SUBTOTAL(103,$B$4:B428)</f>
        <v>425</v>
      </c>
      <c r="B428" s="8">
        <v>557136</v>
      </c>
      <c r="C428" s="5" t="s">
        <v>1077</v>
      </c>
      <c r="D428" s="4" t="s">
        <v>48</v>
      </c>
      <c r="E428" s="4" t="s">
        <v>1055</v>
      </c>
      <c r="F428" s="30">
        <v>45914</v>
      </c>
      <c r="G428" s="19" t="s">
        <v>533</v>
      </c>
      <c r="H428" s="19" t="str">
        <f t="shared" ca="1" si="6"/>
        <v>0 Years, 8 Months, 20 Days</v>
      </c>
      <c r="I428" s="4" t="s">
        <v>1078</v>
      </c>
      <c r="J428" s="4" t="s">
        <v>146</v>
      </c>
      <c r="K428" s="6">
        <v>1723318521</v>
      </c>
      <c r="L428" s="6" t="s">
        <v>42</v>
      </c>
      <c r="M428" s="9">
        <v>523522</v>
      </c>
      <c r="N428" s="4" t="s">
        <v>1067</v>
      </c>
      <c r="O428" s="4" t="s">
        <v>24</v>
      </c>
      <c r="P428" s="4" t="s">
        <v>1068</v>
      </c>
      <c r="Q428" s="3" t="s">
        <v>32</v>
      </c>
      <c r="R428" s="3" t="s">
        <v>33</v>
      </c>
      <c r="S428" s="4"/>
    </row>
    <row r="429" spans="1:19" ht="17.45">
      <c r="A429" s="3">
        <f>SUBTOTAL(103,$B$4:B429)</f>
        <v>426</v>
      </c>
      <c r="B429" s="8">
        <v>560861</v>
      </c>
      <c r="C429" s="5" t="s">
        <v>1079</v>
      </c>
      <c r="D429" s="4" t="s">
        <v>48</v>
      </c>
      <c r="E429" s="4" t="s">
        <v>1055</v>
      </c>
      <c r="F429" s="30">
        <v>46021</v>
      </c>
      <c r="G429" s="19" t="s">
        <v>190</v>
      </c>
      <c r="H429" s="19" t="str">
        <f t="shared" ca="1" si="6"/>
        <v>0 Years, 5 Months, 4 Days</v>
      </c>
      <c r="I429" s="4" t="s">
        <v>1080</v>
      </c>
      <c r="J429" s="4" t="s">
        <v>28</v>
      </c>
      <c r="K429" s="6"/>
      <c r="L429" s="6"/>
      <c r="M429" s="9">
        <v>523522</v>
      </c>
      <c r="N429" s="4" t="s">
        <v>1067</v>
      </c>
      <c r="O429" s="4" t="s">
        <v>24</v>
      </c>
      <c r="P429" s="4" t="s">
        <v>1068</v>
      </c>
      <c r="Q429" s="3" t="s">
        <v>32</v>
      </c>
      <c r="R429" s="3" t="s">
        <v>33</v>
      </c>
      <c r="S429" s="4"/>
    </row>
    <row r="430" spans="1:19" ht="17.45">
      <c r="A430" s="3">
        <f>SUBTOTAL(103,$B$4:B430)</f>
        <v>427</v>
      </c>
      <c r="B430" s="8">
        <v>480036</v>
      </c>
      <c r="C430" s="5" t="s">
        <v>1065</v>
      </c>
      <c r="D430" s="4" t="s">
        <v>250</v>
      </c>
      <c r="E430" s="4" t="s">
        <v>1055</v>
      </c>
      <c r="F430" s="30">
        <v>43927</v>
      </c>
      <c r="G430" s="19" t="s">
        <v>190</v>
      </c>
      <c r="H430" s="19" t="str">
        <f t="shared" ca="1" si="6"/>
        <v>6 Years, 1 Months, 28 Days</v>
      </c>
      <c r="I430" s="4" t="s">
        <v>1066</v>
      </c>
      <c r="J430" s="4" t="s">
        <v>28</v>
      </c>
      <c r="K430" s="6">
        <v>1755516477</v>
      </c>
      <c r="L430" s="6">
        <v>1755516477</v>
      </c>
      <c r="M430" s="17">
        <v>58153</v>
      </c>
      <c r="N430" s="5" t="s">
        <v>650</v>
      </c>
      <c r="O430" s="4" t="str">
        <f>VLOOKUP(Table1[[#This Row],[Supervisors'' Enroll]],[1]EmployeeMonthLyStatus!$B$2:$G$2474,6,FALSE)</f>
        <v>General Manager</v>
      </c>
      <c r="P430" s="18" t="s">
        <v>651</v>
      </c>
      <c r="Q430" s="3" t="s">
        <v>32</v>
      </c>
      <c r="R430" s="3" t="s">
        <v>124</v>
      </c>
      <c r="S430" s="4" t="s">
        <v>1081</v>
      </c>
    </row>
    <row r="431" spans="1:19" ht="17.45">
      <c r="A431" s="3">
        <f>SUBTOTAL(103,$B$4:B431)</f>
        <v>428</v>
      </c>
      <c r="B431" s="8">
        <v>58564</v>
      </c>
      <c r="C431" s="5" t="s">
        <v>1082</v>
      </c>
      <c r="D431" s="4" t="s">
        <v>30</v>
      </c>
      <c r="E431" s="4" t="s">
        <v>1083</v>
      </c>
      <c r="F431" s="30">
        <v>40546</v>
      </c>
      <c r="G431" s="19" t="s">
        <v>26</v>
      </c>
      <c r="H431" s="19" t="str">
        <f t="shared" ca="1" si="6"/>
        <v>15 Years, 5 Months, 0 Days</v>
      </c>
      <c r="I431" s="4" t="s">
        <v>1084</v>
      </c>
      <c r="J431" s="4" t="s">
        <v>28</v>
      </c>
      <c r="K431" s="6">
        <v>1718217111</v>
      </c>
      <c r="L431" s="6">
        <v>1713020530</v>
      </c>
      <c r="M431" s="9">
        <v>58155</v>
      </c>
      <c r="N431" s="4" t="s">
        <v>341</v>
      </c>
      <c r="O431" s="4" t="s">
        <v>129</v>
      </c>
      <c r="P431" s="4" t="s">
        <v>342</v>
      </c>
      <c r="Q431" s="3" t="s">
        <v>32</v>
      </c>
      <c r="R431" s="3" t="s">
        <v>33</v>
      </c>
      <c r="S431" s="4"/>
    </row>
    <row r="432" spans="1:19" ht="17.45">
      <c r="A432" s="3">
        <f>SUBTOTAL(103,$B$4:B432)</f>
        <v>429</v>
      </c>
      <c r="B432" s="8">
        <v>195309</v>
      </c>
      <c r="C432" s="5" t="s">
        <v>1085</v>
      </c>
      <c r="D432" s="4" t="s">
        <v>24</v>
      </c>
      <c r="E432" s="4" t="s">
        <v>1083</v>
      </c>
      <c r="F432" s="30">
        <v>42187</v>
      </c>
      <c r="G432" s="19" t="s">
        <v>26</v>
      </c>
      <c r="H432" s="19" t="str">
        <f t="shared" ca="1" si="6"/>
        <v>10 Years, 11 Months, 1 Days</v>
      </c>
      <c r="I432" s="4" t="s">
        <v>1086</v>
      </c>
      <c r="J432" s="4" t="s">
        <v>28</v>
      </c>
      <c r="K432" s="6">
        <v>1818415849</v>
      </c>
      <c r="L432" s="6"/>
      <c r="M432" s="9">
        <v>58155</v>
      </c>
      <c r="N432" s="4" t="s">
        <v>341</v>
      </c>
      <c r="O432" s="4" t="s">
        <v>129</v>
      </c>
      <c r="P432" s="4" t="s">
        <v>342</v>
      </c>
      <c r="Q432" s="3" t="s">
        <v>32</v>
      </c>
      <c r="R432" s="3" t="s">
        <v>33</v>
      </c>
      <c r="S432" s="4"/>
    </row>
    <row r="433" spans="1:19" ht="17.45">
      <c r="A433" s="3">
        <f>SUBTOTAL(103,$B$4:B433)</f>
        <v>430</v>
      </c>
      <c r="B433" s="8">
        <v>525229</v>
      </c>
      <c r="C433" s="5" t="s">
        <v>1087</v>
      </c>
      <c r="D433" s="4" t="s">
        <v>48</v>
      </c>
      <c r="E433" s="4" t="s">
        <v>1083</v>
      </c>
      <c r="F433" s="30">
        <v>44564</v>
      </c>
      <c r="G433" s="19" t="s">
        <v>26</v>
      </c>
      <c r="H433" s="19" t="str">
        <f t="shared" ca="1" si="6"/>
        <v>4 Years, 5 Months, 0 Days</v>
      </c>
      <c r="I433" s="4" t="s">
        <v>1088</v>
      </c>
      <c r="J433" s="4" t="s">
        <v>28</v>
      </c>
      <c r="K433" s="6">
        <v>1713020641</v>
      </c>
      <c r="L433" s="6">
        <v>1713020641</v>
      </c>
      <c r="M433" s="9">
        <v>58155</v>
      </c>
      <c r="N433" s="4" t="s">
        <v>341</v>
      </c>
      <c r="O433" s="4" t="s">
        <v>129</v>
      </c>
      <c r="P433" s="4" t="s">
        <v>342</v>
      </c>
      <c r="Q433" s="3" t="s">
        <v>32</v>
      </c>
      <c r="R433" s="3" t="s">
        <v>33</v>
      </c>
      <c r="S433" s="4"/>
    </row>
    <row r="434" spans="1:19" ht="17.45">
      <c r="A434" s="3">
        <f>SUBTOTAL(103,$B$4:B434)</f>
        <v>431</v>
      </c>
      <c r="B434" s="8">
        <v>529348</v>
      </c>
      <c r="C434" s="5" t="s">
        <v>1089</v>
      </c>
      <c r="D434" s="4" t="s">
        <v>61</v>
      </c>
      <c r="E434" s="4" t="s">
        <v>1083</v>
      </c>
      <c r="F434" s="30">
        <v>44713</v>
      </c>
      <c r="G434" s="19" t="s">
        <v>26</v>
      </c>
      <c r="H434" s="19" t="str">
        <f t="shared" ca="1" si="6"/>
        <v>4 Years, 0 Months, 2 Days</v>
      </c>
      <c r="I434" s="4" t="s">
        <v>1090</v>
      </c>
      <c r="J434" s="4" t="s">
        <v>28</v>
      </c>
      <c r="K434" s="6">
        <v>1760561238</v>
      </c>
      <c r="L434" s="6">
        <v>1324762721</v>
      </c>
      <c r="M434" s="9">
        <v>58155</v>
      </c>
      <c r="N434" s="4" t="s">
        <v>341</v>
      </c>
      <c r="O434" s="4" t="s">
        <v>129</v>
      </c>
      <c r="P434" s="4" t="s">
        <v>342</v>
      </c>
      <c r="Q434" s="3" t="s">
        <v>32</v>
      </c>
      <c r="R434" s="3" t="s">
        <v>33</v>
      </c>
      <c r="S434" s="4"/>
    </row>
    <row r="435" spans="1:19" ht="17.45">
      <c r="A435" s="3">
        <f>SUBTOTAL(103,$B$4:B435)</f>
        <v>432</v>
      </c>
      <c r="B435" s="8">
        <v>557884</v>
      </c>
      <c r="C435" s="5" t="s">
        <v>1091</v>
      </c>
      <c r="D435" s="4" t="s">
        <v>48</v>
      </c>
      <c r="E435" s="4" t="s">
        <v>1083</v>
      </c>
      <c r="F435" s="30">
        <v>45935</v>
      </c>
      <c r="G435" s="19" t="s">
        <v>26</v>
      </c>
      <c r="H435" s="19" t="str">
        <f t="shared" ca="1" si="6"/>
        <v>0 Years, 7 Months, 29 Days</v>
      </c>
      <c r="I435" s="4" t="s">
        <v>1092</v>
      </c>
      <c r="J435" s="4" t="s">
        <v>28</v>
      </c>
      <c r="K435" s="6">
        <v>1851020837</v>
      </c>
      <c r="L435" s="6" t="s">
        <v>42</v>
      </c>
      <c r="M435" s="9">
        <v>58155</v>
      </c>
      <c r="N435" s="4" t="s">
        <v>341</v>
      </c>
      <c r="O435" s="4" t="s">
        <v>129</v>
      </c>
      <c r="P435" s="4" t="s">
        <v>342</v>
      </c>
      <c r="Q435" s="3" t="s">
        <v>32</v>
      </c>
      <c r="R435" s="3" t="s">
        <v>33</v>
      </c>
      <c r="S435" s="4"/>
    </row>
    <row r="436" spans="1:19" ht="17.45">
      <c r="A436" s="3">
        <f>SUBTOTAL(103,$B$4:B436)</f>
        <v>433</v>
      </c>
      <c r="B436" s="8">
        <v>559859</v>
      </c>
      <c r="C436" s="5" t="s">
        <v>1093</v>
      </c>
      <c r="D436" s="4" t="s">
        <v>48</v>
      </c>
      <c r="E436" s="4" t="s">
        <v>1083</v>
      </c>
      <c r="F436" s="30">
        <v>45991</v>
      </c>
      <c r="G436" s="19" t="s">
        <v>26</v>
      </c>
      <c r="H436" s="19" t="str">
        <f t="shared" ca="1" si="6"/>
        <v>0 Years, 6 Months, 4 Days</v>
      </c>
      <c r="I436" s="4" t="s">
        <v>1094</v>
      </c>
      <c r="J436" s="4" t="s">
        <v>28</v>
      </c>
      <c r="K436" s="6">
        <v>1610116963</v>
      </c>
      <c r="L436" s="6" t="s">
        <v>42</v>
      </c>
      <c r="M436" s="9">
        <v>195309</v>
      </c>
      <c r="N436" s="4" t="s">
        <v>1085</v>
      </c>
      <c r="O436" s="4" t="s">
        <v>24</v>
      </c>
      <c r="P436" s="4" t="s">
        <v>1086</v>
      </c>
      <c r="Q436" s="3" t="s">
        <v>32</v>
      </c>
      <c r="R436" s="3" t="s">
        <v>33</v>
      </c>
      <c r="S436" s="4"/>
    </row>
    <row r="437" spans="1:19" ht="17.45">
      <c r="A437" s="3">
        <f>SUBTOTAL(103,$B$4:B437)</f>
        <v>434</v>
      </c>
      <c r="B437" s="8">
        <v>551234</v>
      </c>
      <c r="C437" s="5" t="s">
        <v>1095</v>
      </c>
      <c r="D437" s="4" t="s">
        <v>24</v>
      </c>
      <c r="E437" s="4" t="s">
        <v>1083</v>
      </c>
      <c r="F437" s="30">
        <v>45711</v>
      </c>
      <c r="G437" s="19" t="s">
        <v>26</v>
      </c>
      <c r="H437" s="19" t="str">
        <f t="shared" ca="1" si="6"/>
        <v>1 Years, 3 Months, 11 Days</v>
      </c>
      <c r="I437" s="4" t="s">
        <v>1096</v>
      </c>
      <c r="J437" s="4" t="s">
        <v>28</v>
      </c>
      <c r="K437" s="6">
        <v>1827320008</v>
      </c>
      <c r="L437" s="6" t="s">
        <v>42</v>
      </c>
      <c r="M437" s="14"/>
      <c r="N437" s="18" t="s">
        <v>175</v>
      </c>
      <c r="O437" s="4" t="s">
        <v>175</v>
      </c>
      <c r="P437" s="4" t="s">
        <v>175</v>
      </c>
      <c r="Q437" s="3" t="s">
        <v>32</v>
      </c>
      <c r="R437" s="3" t="s">
        <v>33</v>
      </c>
      <c r="S437" s="4"/>
    </row>
    <row r="438" spans="1:19" ht="17.45">
      <c r="A438" s="3">
        <f>SUBTOTAL(103,$B$4:B438)</f>
        <v>435</v>
      </c>
      <c r="B438" s="8">
        <v>551868</v>
      </c>
      <c r="C438" s="5" t="s">
        <v>1097</v>
      </c>
      <c r="D438" s="4" t="s">
        <v>24</v>
      </c>
      <c r="E438" s="4" t="s">
        <v>1083</v>
      </c>
      <c r="F438" s="30">
        <v>45753</v>
      </c>
      <c r="G438" s="19" t="s">
        <v>26</v>
      </c>
      <c r="H438" s="19" t="str">
        <f t="shared" ca="1" si="6"/>
        <v>1 Years, 1 Months, 28 Days</v>
      </c>
      <c r="I438" s="4" t="s">
        <v>1098</v>
      </c>
      <c r="J438" s="4" t="s">
        <v>28</v>
      </c>
      <c r="K438" s="6">
        <v>1726178035</v>
      </c>
      <c r="L438" s="6" t="s">
        <v>42</v>
      </c>
      <c r="M438" s="14"/>
      <c r="N438" s="18" t="s">
        <v>175</v>
      </c>
      <c r="O438" s="4" t="s">
        <v>175</v>
      </c>
      <c r="P438" s="4" t="s">
        <v>175</v>
      </c>
      <c r="Q438" s="3" t="s">
        <v>32</v>
      </c>
      <c r="R438" s="3" t="s">
        <v>33</v>
      </c>
      <c r="S438" s="4"/>
    </row>
    <row r="439" spans="1:19" ht="17.45">
      <c r="A439" s="3">
        <f>SUBTOTAL(103,$B$4:B439)</f>
        <v>436</v>
      </c>
      <c r="B439" s="8">
        <v>553985</v>
      </c>
      <c r="C439" s="5" t="s">
        <v>1099</v>
      </c>
      <c r="D439" s="4" t="s">
        <v>48</v>
      </c>
      <c r="E439" s="4" t="s">
        <v>1083</v>
      </c>
      <c r="F439" s="30">
        <v>45824</v>
      </c>
      <c r="G439" s="19" t="s">
        <v>26</v>
      </c>
      <c r="H439" s="19" t="str">
        <f t="shared" ca="1" si="6"/>
        <v>0 Years, 11 Months, 18 Days</v>
      </c>
      <c r="I439" s="4" t="s">
        <v>1100</v>
      </c>
      <c r="J439" s="4" t="s">
        <v>28</v>
      </c>
      <c r="K439" s="6">
        <v>1607316405</v>
      </c>
      <c r="L439" s="6" t="s">
        <v>42</v>
      </c>
      <c r="M439" s="9">
        <v>553965</v>
      </c>
      <c r="N439" s="4" t="s">
        <v>343</v>
      </c>
      <c r="O439" s="4" t="str">
        <f>VLOOKUP(Table1[[#This Row],[Supervisors'' Enroll]],[1]EmployeeMonthLyStatus!$B$2:$G$2474,6,FALSE)</f>
        <v>Deputy Manager</v>
      </c>
      <c r="P439" s="18" t="s">
        <v>344</v>
      </c>
      <c r="Q439" s="3" t="s">
        <v>32</v>
      </c>
      <c r="R439" s="3" t="s">
        <v>33</v>
      </c>
      <c r="S439" s="4"/>
    </row>
    <row r="440" spans="1:19" ht="17.45">
      <c r="A440" s="3">
        <f>SUBTOTAL(103,$B$4:B440)</f>
        <v>437</v>
      </c>
      <c r="B440" s="8">
        <v>58155</v>
      </c>
      <c r="C440" s="5" t="s">
        <v>341</v>
      </c>
      <c r="D440" s="4" t="s">
        <v>129</v>
      </c>
      <c r="E440" s="4" t="s">
        <v>1083</v>
      </c>
      <c r="F440" s="30">
        <v>38962</v>
      </c>
      <c r="G440" s="19" t="s">
        <v>26</v>
      </c>
      <c r="H440" s="19" t="str">
        <f t="shared" ca="1" si="6"/>
        <v>19 Years, 9 Months, 1 Days</v>
      </c>
      <c r="I440" s="4" t="s">
        <v>342</v>
      </c>
      <c r="J440" s="4" t="s">
        <v>28</v>
      </c>
      <c r="K440" s="6">
        <v>1755516353</v>
      </c>
      <c r="L440" s="6">
        <v>1755516353</v>
      </c>
      <c r="M440" s="9">
        <v>540363</v>
      </c>
      <c r="N440" s="4" t="s">
        <v>210</v>
      </c>
      <c r="O440" s="4" t="str">
        <f>VLOOKUP(Table1[[#This Row],[Supervisors'' Enroll]],[1]EmployeeMonthLyStatus!$B$2:$G$2474,6,FALSE)</f>
        <v>Chief Executive Officer</v>
      </c>
      <c r="P440" s="18" t="s">
        <v>212</v>
      </c>
      <c r="Q440" s="3" t="s">
        <v>123</v>
      </c>
      <c r="R440" s="3" t="s">
        <v>124</v>
      </c>
      <c r="S440" s="4" t="s">
        <v>1101</v>
      </c>
    </row>
    <row r="441" spans="1:19" ht="17.45">
      <c r="A441" s="3">
        <f>SUBTOTAL(103,$B$4:B441)</f>
        <v>438</v>
      </c>
      <c r="B441" s="8">
        <v>527267</v>
      </c>
      <c r="C441" s="5" t="s">
        <v>1102</v>
      </c>
      <c r="D441" s="4" t="s">
        <v>94</v>
      </c>
      <c r="E441" s="4" t="s">
        <v>1103</v>
      </c>
      <c r="F441" s="30">
        <v>44635</v>
      </c>
      <c r="G441" s="19" t="s">
        <v>152</v>
      </c>
      <c r="H441" s="19" t="str">
        <f t="shared" ca="1" si="6"/>
        <v>4 Years, 2 Months, 19 Days</v>
      </c>
      <c r="I441" s="4" t="s">
        <v>1104</v>
      </c>
      <c r="J441" s="4" t="s">
        <v>154</v>
      </c>
      <c r="K441" s="6">
        <v>1755516495</v>
      </c>
      <c r="L441" s="6">
        <v>1755516495</v>
      </c>
      <c r="M441" s="9">
        <v>111295</v>
      </c>
      <c r="N441" s="4" t="s">
        <v>463</v>
      </c>
      <c r="O441" s="4" t="s">
        <v>129</v>
      </c>
      <c r="P441" s="4" t="s">
        <v>465</v>
      </c>
      <c r="Q441" s="3" t="s">
        <v>123</v>
      </c>
      <c r="R441" s="3" t="s">
        <v>124</v>
      </c>
      <c r="S441" s="4" t="s">
        <v>1105</v>
      </c>
    </row>
    <row r="442" spans="1:19" ht="17.45">
      <c r="A442" s="3">
        <f>SUBTOTAL(103,$B$4:B442)</f>
        <v>439</v>
      </c>
      <c r="B442" s="8">
        <v>559370</v>
      </c>
      <c r="C442" s="5" t="s">
        <v>1106</v>
      </c>
      <c r="D442" s="4" t="s">
        <v>94</v>
      </c>
      <c r="E442" s="4" t="s">
        <v>1103</v>
      </c>
      <c r="F442" s="30">
        <v>45973</v>
      </c>
      <c r="G442" s="19" t="s">
        <v>1107</v>
      </c>
      <c r="H442" s="19" t="str">
        <f t="shared" ca="1" si="6"/>
        <v>0 Years, 6 Months, 22 Days</v>
      </c>
      <c r="I442" s="4" t="s">
        <v>1108</v>
      </c>
      <c r="J442" s="4" t="s">
        <v>154</v>
      </c>
      <c r="K442" s="6">
        <v>1752723226</v>
      </c>
      <c r="L442" s="6" t="s">
        <v>42</v>
      </c>
      <c r="M442" s="9">
        <v>111295</v>
      </c>
      <c r="N442" s="4" t="s">
        <v>463</v>
      </c>
      <c r="O442" s="4" t="s">
        <v>129</v>
      </c>
      <c r="P442" s="4" t="s">
        <v>465</v>
      </c>
      <c r="Q442" s="3" t="s">
        <v>123</v>
      </c>
      <c r="R442" s="3" t="s">
        <v>124</v>
      </c>
      <c r="S442" s="4" t="s">
        <v>1109</v>
      </c>
    </row>
    <row r="443" spans="1:19" ht="17.45">
      <c r="A443" s="3">
        <f>SUBTOTAL(103,$B$4:B443)</f>
        <v>440</v>
      </c>
      <c r="B443" s="8">
        <v>560923</v>
      </c>
      <c r="C443" s="5" t="s">
        <v>1110</v>
      </c>
      <c r="D443" s="4" t="s">
        <v>48</v>
      </c>
      <c r="E443" s="4" t="s">
        <v>1103</v>
      </c>
      <c r="F443" s="30">
        <v>46023</v>
      </c>
      <c r="G443" s="19" t="s">
        <v>645</v>
      </c>
      <c r="H443" s="19" t="str">
        <f t="shared" ca="1" si="6"/>
        <v>0 Years, 5 Months, 2 Days</v>
      </c>
      <c r="I443" s="4" t="s">
        <v>1111</v>
      </c>
      <c r="J443" s="4" t="s">
        <v>642</v>
      </c>
      <c r="K443" s="6"/>
      <c r="L443" s="6"/>
      <c r="M443" s="9">
        <v>462555</v>
      </c>
      <c r="N443" s="4" t="s">
        <v>643</v>
      </c>
      <c r="O443" s="4" t="s">
        <v>24</v>
      </c>
      <c r="P443" s="4" t="s">
        <v>644</v>
      </c>
      <c r="Q443" s="3" t="s">
        <v>32</v>
      </c>
      <c r="R443" s="3" t="s">
        <v>33</v>
      </c>
      <c r="S443" s="4"/>
    </row>
    <row r="444" spans="1:19" ht="17.45">
      <c r="A444" s="3">
        <f>SUBTOTAL(103,$B$4:B444)</f>
        <v>441</v>
      </c>
      <c r="B444" s="8">
        <v>560944</v>
      </c>
      <c r="C444" s="5" t="s">
        <v>1112</v>
      </c>
      <c r="D444" s="4" t="s">
        <v>48</v>
      </c>
      <c r="E444" s="4" t="s">
        <v>1103</v>
      </c>
      <c r="F444" s="30">
        <v>46026</v>
      </c>
      <c r="G444" s="19" t="s">
        <v>645</v>
      </c>
      <c r="H444" s="19" t="str">
        <f t="shared" ca="1" si="6"/>
        <v>0 Years, 4 Months, 30 Days</v>
      </c>
      <c r="I444" s="4" t="s">
        <v>1113</v>
      </c>
      <c r="J444" s="4" t="s">
        <v>642</v>
      </c>
      <c r="K444" s="6"/>
      <c r="L444" s="6"/>
      <c r="M444" s="9">
        <v>462555</v>
      </c>
      <c r="N444" s="4" t="s">
        <v>643</v>
      </c>
      <c r="O444" s="4" t="s">
        <v>24</v>
      </c>
      <c r="P444" s="4" t="s">
        <v>644</v>
      </c>
      <c r="Q444" s="3" t="s">
        <v>32</v>
      </c>
      <c r="R444" s="3" t="s">
        <v>33</v>
      </c>
      <c r="S444" s="4"/>
    </row>
    <row r="445" spans="1:19" ht="17.45">
      <c r="A445" s="3">
        <f>SUBTOTAL(103,$B$4:B445)</f>
        <v>442</v>
      </c>
      <c r="B445" s="8">
        <v>561353</v>
      </c>
      <c r="C445" s="5" t="s">
        <v>1114</v>
      </c>
      <c r="D445" s="4" t="s">
        <v>48</v>
      </c>
      <c r="E445" s="4" t="s">
        <v>1103</v>
      </c>
      <c r="F445" s="30">
        <v>46037</v>
      </c>
      <c r="G445" s="19" t="s">
        <v>645</v>
      </c>
      <c r="H445" s="19" t="str">
        <f t="shared" ca="1" si="6"/>
        <v>0 Years, 4 Months, 19 Days</v>
      </c>
      <c r="I445" s="4" t="s">
        <v>1115</v>
      </c>
      <c r="J445" s="4" t="s">
        <v>642</v>
      </c>
      <c r="K445" s="6"/>
      <c r="L445" s="6"/>
      <c r="M445" s="9">
        <v>462555</v>
      </c>
      <c r="N445" s="4" t="s">
        <v>643</v>
      </c>
      <c r="O445" s="4" t="s">
        <v>24</v>
      </c>
      <c r="P445" s="4" t="s">
        <v>644</v>
      </c>
      <c r="Q445" s="3" t="s">
        <v>32</v>
      </c>
      <c r="R445" s="3" t="s">
        <v>33</v>
      </c>
      <c r="S445" s="4"/>
    </row>
    <row r="446" spans="1:19" ht="17.45">
      <c r="A446" s="3">
        <f>SUBTOTAL(103,$B$4:B446)</f>
        <v>443</v>
      </c>
      <c r="B446" s="8">
        <v>527823</v>
      </c>
      <c r="C446" s="5" t="s">
        <v>268</v>
      </c>
      <c r="D446" s="4" t="s">
        <v>250</v>
      </c>
      <c r="E446" s="4" t="s">
        <v>1103</v>
      </c>
      <c r="F446" s="30">
        <v>44677</v>
      </c>
      <c r="G446" s="19" t="s">
        <v>152</v>
      </c>
      <c r="H446" s="19" t="str">
        <f t="shared" ca="1" si="6"/>
        <v>4 Years, 1 Months, 8 Days</v>
      </c>
      <c r="I446" s="4" t="s">
        <v>269</v>
      </c>
      <c r="J446" s="4" t="s">
        <v>154</v>
      </c>
      <c r="K446" s="6">
        <v>1822998956</v>
      </c>
      <c r="L446" s="6">
        <v>1713020531</v>
      </c>
      <c r="M446" s="9">
        <v>527267</v>
      </c>
      <c r="N446" s="4" t="s">
        <v>1102</v>
      </c>
      <c r="O446" s="4" t="s">
        <v>94</v>
      </c>
      <c r="P446" s="4" t="s">
        <v>1104</v>
      </c>
      <c r="Q446" s="3" t="s">
        <v>32</v>
      </c>
      <c r="R446" s="3" t="s">
        <v>124</v>
      </c>
      <c r="S446" s="4" t="s">
        <v>1116</v>
      </c>
    </row>
    <row r="447" spans="1:19" ht="17.45">
      <c r="A447" s="3">
        <f>SUBTOTAL(103,$B$4:B447)</f>
        <v>444</v>
      </c>
      <c r="B447" s="8">
        <v>447065</v>
      </c>
      <c r="C447" s="5" t="s">
        <v>1117</v>
      </c>
      <c r="D447" s="4" t="s">
        <v>24</v>
      </c>
      <c r="E447" s="4" t="s">
        <v>1103</v>
      </c>
      <c r="F447" s="30">
        <v>43617</v>
      </c>
      <c r="G447" s="19" t="s">
        <v>152</v>
      </c>
      <c r="H447" s="19" t="str">
        <f t="shared" ca="1" si="6"/>
        <v>7 Years, 0 Months, 2 Days</v>
      </c>
      <c r="I447" s="4" t="s">
        <v>1118</v>
      </c>
      <c r="J447" s="4" t="s">
        <v>154</v>
      </c>
      <c r="K447" s="6">
        <v>1713020611</v>
      </c>
      <c r="L447" s="6">
        <v>1713020611</v>
      </c>
      <c r="M447" s="9">
        <v>527267</v>
      </c>
      <c r="N447" s="4" t="s">
        <v>1102</v>
      </c>
      <c r="O447" s="4" t="s">
        <v>94</v>
      </c>
      <c r="P447" s="4" t="s">
        <v>1104</v>
      </c>
      <c r="Q447" s="3" t="s">
        <v>32</v>
      </c>
      <c r="R447" s="3" t="s">
        <v>33</v>
      </c>
      <c r="S447" s="4"/>
    </row>
    <row r="448" spans="1:19" ht="17.45">
      <c r="A448" s="3">
        <f>SUBTOTAL(103,$B$4:B448)</f>
        <v>445</v>
      </c>
      <c r="B448" s="8">
        <v>553062</v>
      </c>
      <c r="C448" s="5" t="s">
        <v>968</v>
      </c>
      <c r="D448" s="4" t="s">
        <v>61</v>
      </c>
      <c r="E448" s="4" t="s">
        <v>1103</v>
      </c>
      <c r="F448" s="30">
        <v>45784</v>
      </c>
      <c r="G448" s="19" t="s">
        <v>152</v>
      </c>
      <c r="H448" s="19" t="str">
        <f t="shared" ca="1" si="6"/>
        <v>1 Years, 0 Months, 27 Days</v>
      </c>
      <c r="I448" s="4" t="s">
        <v>1119</v>
      </c>
      <c r="J448" s="4" t="s">
        <v>154</v>
      </c>
      <c r="K448" s="6">
        <v>1761116612</v>
      </c>
      <c r="L448" s="6" t="s">
        <v>42</v>
      </c>
      <c r="M448" s="9">
        <v>527823</v>
      </c>
      <c r="N448" s="4" t="s">
        <v>268</v>
      </c>
      <c r="O448" s="4" t="s">
        <v>250</v>
      </c>
      <c r="P448" s="4" t="s">
        <v>269</v>
      </c>
      <c r="Q448" s="3" t="s">
        <v>32</v>
      </c>
      <c r="R448" s="3" t="s">
        <v>33</v>
      </c>
      <c r="S448" s="4"/>
    </row>
    <row r="449" spans="1:19" ht="17.45">
      <c r="A449" s="3">
        <f>SUBTOTAL(103,$B$4:B449)</f>
        <v>446</v>
      </c>
      <c r="B449" s="8">
        <v>541175</v>
      </c>
      <c r="C449" s="5" t="s">
        <v>583</v>
      </c>
      <c r="D449" s="4" t="s">
        <v>61</v>
      </c>
      <c r="E449" s="4" t="s">
        <v>1103</v>
      </c>
      <c r="F449" s="30">
        <v>45323</v>
      </c>
      <c r="G449" s="19" t="s">
        <v>471</v>
      </c>
      <c r="H449" s="19" t="str">
        <f t="shared" ca="1" si="6"/>
        <v>2 Years, 4 Months, 2 Days</v>
      </c>
      <c r="I449" s="4" t="s">
        <v>584</v>
      </c>
      <c r="J449" s="4" t="s">
        <v>473</v>
      </c>
      <c r="K449" s="6">
        <v>1913927286</v>
      </c>
      <c r="L449" s="6">
        <v>1329645899</v>
      </c>
      <c r="M449" s="9">
        <v>529668</v>
      </c>
      <c r="N449" s="4" t="s">
        <v>228</v>
      </c>
      <c r="O449" s="4" t="s">
        <v>211</v>
      </c>
      <c r="P449" s="4" t="s">
        <v>229</v>
      </c>
      <c r="Q449" s="3" t="s">
        <v>32</v>
      </c>
      <c r="R449" s="3" t="s">
        <v>33</v>
      </c>
      <c r="S449" s="4"/>
    </row>
    <row r="450" spans="1:19" ht="17.45">
      <c r="A450" s="3">
        <f>SUBTOTAL(103,$B$4:B450)</f>
        <v>447</v>
      </c>
      <c r="B450" s="8">
        <v>556886</v>
      </c>
      <c r="C450" s="5" t="s">
        <v>593</v>
      </c>
      <c r="D450" s="4" t="s">
        <v>129</v>
      </c>
      <c r="E450" s="4" t="s">
        <v>1103</v>
      </c>
      <c r="F450" s="30">
        <v>45910</v>
      </c>
      <c r="G450" s="19" t="s">
        <v>471</v>
      </c>
      <c r="H450" s="19" t="str">
        <f t="shared" ca="1" si="6"/>
        <v>0 Years, 8 Months, 24 Days</v>
      </c>
      <c r="I450" s="4" t="s">
        <v>594</v>
      </c>
      <c r="J450" s="4" t="s">
        <v>473</v>
      </c>
      <c r="K450" s="6">
        <v>1711407775</v>
      </c>
      <c r="L450" s="6" t="s">
        <v>42</v>
      </c>
      <c r="M450" s="9">
        <v>529668</v>
      </c>
      <c r="N450" s="4" t="s">
        <v>228</v>
      </c>
      <c r="O450" s="4" t="s">
        <v>211</v>
      </c>
      <c r="P450" s="4" t="s">
        <v>229</v>
      </c>
      <c r="Q450" s="3" t="s">
        <v>123</v>
      </c>
      <c r="R450" s="3" t="s">
        <v>124</v>
      </c>
      <c r="S450" s="4" t="s">
        <v>1120</v>
      </c>
    </row>
    <row r="451" spans="1:19" ht="17.45">
      <c r="A451" s="3">
        <f>SUBTOTAL(103,$B$4:B451)</f>
        <v>448</v>
      </c>
      <c r="B451" s="8">
        <v>531155</v>
      </c>
      <c r="C451" s="5" t="s">
        <v>1121</v>
      </c>
      <c r="D451" s="4" t="s">
        <v>94</v>
      </c>
      <c r="E451" s="4" t="s">
        <v>1103</v>
      </c>
      <c r="F451" s="30">
        <v>44832</v>
      </c>
      <c r="G451" s="19" t="s">
        <v>156</v>
      </c>
      <c r="H451" s="19" t="str">
        <f t="shared" ca="1" si="6"/>
        <v>3 Years, 8 Months, 6 Days</v>
      </c>
      <c r="I451" s="4" t="s">
        <v>1122</v>
      </c>
      <c r="J451" s="4" t="s">
        <v>158</v>
      </c>
      <c r="K451" s="6">
        <v>1723420915</v>
      </c>
      <c r="L451" s="6">
        <v>1324762644</v>
      </c>
      <c r="M451" s="9">
        <v>529668</v>
      </c>
      <c r="N451" s="4" t="s">
        <v>228</v>
      </c>
      <c r="O451" s="4" t="s">
        <v>211</v>
      </c>
      <c r="P451" s="4" t="s">
        <v>229</v>
      </c>
      <c r="Q451" s="3" t="s">
        <v>123</v>
      </c>
      <c r="R451" s="3" t="s">
        <v>124</v>
      </c>
      <c r="S451" s="4" t="s">
        <v>1123</v>
      </c>
    </row>
    <row r="452" spans="1:19" ht="17.45">
      <c r="A452" s="3">
        <f>SUBTOTAL(103,$B$4:B452)</f>
        <v>449</v>
      </c>
      <c r="B452" s="8">
        <v>536407</v>
      </c>
      <c r="C452" s="5" t="s">
        <v>1124</v>
      </c>
      <c r="D452" s="4" t="s">
        <v>61</v>
      </c>
      <c r="E452" s="4" t="s">
        <v>1103</v>
      </c>
      <c r="F452" s="30">
        <v>45012</v>
      </c>
      <c r="G452" s="19" t="s">
        <v>156</v>
      </c>
      <c r="H452" s="19" t="str">
        <f t="shared" ca="1" si="6"/>
        <v>3 Years, 2 Months, 7 Days</v>
      </c>
      <c r="I452" s="4" t="s">
        <v>1125</v>
      </c>
      <c r="J452" s="4" t="s">
        <v>158</v>
      </c>
      <c r="K452" s="6">
        <v>1716768682</v>
      </c>
      <c r="L452" s="6">
        <v>1324762478</v>
      </c>
      <c r="M452" s="9">
        <v>529668</v>
      </c>
      <c r="N452" s="4" t="s">
        <v>228</v>
      </c>
      <c r="O452" s="4" t="s">
        <v>211</v>
      </c>
      <c r="P452" s="4" t="s">
        <v>229</v>
      </c>
      <c r="Q452" s="3" t="s">
        <v>32</v>
      </c>
      <c r="R452" s="3" t="s">
        <v>33</v>
      </c>
      <c r="S452" s="4"/>
    </row>
    <row r="453" spans="1:19" ht="17.45">
      <c r="A453" s="3">
        <f>SUBTOTAL(103,$B$4:B453)</f>
        <v>450</v>
      </c>
      <c r="B453" s="8">
        <v>544495</v>
      </c>
      <c r="C453" s="5" t="s">
        <v>1126</v>
      </c>
      <c r="D453" s="4" t="s">
        <v>94</v>
      </c>
      <c r="E453" s="4" t="s">
        <v>1103</v>
      </c>
      <c r="F453" s="30">
        <v>45504</v>
      </c>
      <c r="G453" s="19" t="s">
        <v>156</v>
      </c>
      <c r="H453" s="19" t="str">
        <f t="shared" ref="H453:H516" ca="1" si="7">DATEDIF(F453,TODAY(),"Y") &amp; " Years, " &amp; DATEDIF(F453,TODAY(),"YM") &amp; " Months, " &amp; DATEDIF(F453,TODAY(),"MD") &amp; " Days"</f>
        <v>1 Years, 10 Months, 3 Days</v>
      </c>
      <c r="I453" s="4" t="s">
        <v>1127</v>
      </c>
      <c r="J453" s="4" t="s">
        <v>158</v>
      </c>
      <c r="K453" s="6">
        <v>1329428824</v>
      </c>
      <c r="L453" s="6" t="s">
        <v>42</v>
      </c>
      <c r="M453" s="9">
        <v>529668</v>
      </c>
      <c r="N453" s="4" t="s">
        <v>228</v>
      </c>
      <c r="O453" s="4" t="s">
        <v>211</v>
      </c>
      <c r="P453" s="4" t="s">
        <v>229</v>
      </c>
      <c r="Q453" s="3" t="s">
        <v>123</v>
      </c>
      <c r="R453" s="3" t="s">
        <v>124</v>
      </c>
      <c r="S453" s="4" t="s">
        <v>1128</v>
      </c>
    </row>
    <row r="454" spans="1:19" ht="17.45">
      <c r="A454" s="3">
        <f>SUBTOTAL(103,$B$4:B454)</f>
        <v>451</v>
      </c>
      <c r="B454" s="8">
        <v>557840</v>
      </c>
      <c r="C454" s="5" t="s">
        <v>1129</v>
      </c>
      <c r="D454" s="4" t="s">
        <v>24</v>
      </c>
      <c r="E454" s="4" t="s">
        <v>1103</v>
      </c>
      <c r="F454" s="30">
        <v>45931</v>
      </c>
      <c r="G454" s="19" t="s">
        <v>156</v>
      </c>
      <c r="H454" s="19" t="str">
        <f t="shared" ca="1" si="7"/>
        <v>0 Years, 8 Months, 2 Days</v>
      </c>
      <c r="I454" s="4" t="s">
        <v>1130</v>
      </c>
      <c r="J454" s="4" t="s">
        <v>158</v>
      </c>
      <c r="K454" s="6">
        <v>1798041312</v>
      </c>
      <c r="L454" s="6" t="s">
        <v>42</v>
      </c>
      <c r="M454" s="9">
        <v>529668</v>
      </c>
      <c r="N454" s="4" t="s">
        <v>228</v>
      </c>
      <c r="O454" s="4" t="s">
        <v>211</v>
      </c>
      <c r="P454" s="4" t="s">
        <v>229</v>
      </c>
      <c r="Q454" s="3" t="s">
        <v>32</v>
      </c>
      <c r="R454" s="3" t="s">
        <v>33</v>
      </c>
      <c r="S454" s="4"/>
    </row>
    <row r="455" spans="1:19" ht="17.45">
      <c r="A455" s="3">
        <f>SUBTOTAL(103,$B$4:B455)</f>
        <v>452</v>
      </c>
      <c r="B455" s="8">
        <v>551659</v>
      </c>
      <c r="C455" s="5" t="s">
        <v>1131</v>
      </c>
      <c r="D455" s="4" t="s">
        <v>35</v>
      </c>
      <c r="E455" s="4" t="s">
        <v>1103</v>
      </c>
      <c r="F455" s="30">
        <v>45727</v>
      </c>
      <c r="G455" s="19" t="s">
        <v>171</v>
      </c>
      <c r="H455" s="19" t="str">
        <f t="shared" ca="1" si="7"/>
        <v>1 Years, 2 Months, 23 Days</v>
      </c>
      <c r="I455" s="4" t="s">
        <v>1132</v>
      </c>
      <c r="J455" s="4" t="s">
        <v>173</v>
      </c>
      <c r="K455" s="6">
        <v>1701395489</v>
      </c>
      <c r="L455" s="6" t="s">
        <v>42</v>
      </c>
      <c r="M455" s="9">
        <v>529668</v>
      </c>
      <c r="N455" s="4" t="s">
        <v>228</v>
      </c>
      <c r="O455" s="4" t="s">
        <v>211</v>
      </c>
      <c r="P455" s="4" t="s">
        <v>229</v>
      </c>
      <c r="Q455" s="3" t="s">
        <v>32</v>
      </c>
      <c r="R455" s="3" t="s">
        <v>124</v>
      </c>
      <c r="S455" s="4" t="s">
        <v>1133</v>
      </c>
    </row>
    <row r="456" spans="1:19" ht="17.45">
      <c r="A456" s="3">
        <f>SUBTOTAL(103,$B$4:B456)</f>
        <v>453</v>
      </c>
      <c r="B456" s="8">
        <v>542661</v>
      </c>
      <c r="C456" s="5" t="s">
        <v>1134</v>
      </c>
      <c r="D456" s="4" t="s">
        <v>106</v>
      </c>
      <c r="E456" s="4" t="s">
        <v>1103</v>
      </c>
      <c r="F456" s="30">
        <v>45406</v>
      </c>
      <c r="G456" s="19" t="s">
        <v>135</v>
      </c>
      <c r="H456" s="19" t="str">
        <f t="shared" ca="1" si="7"/>
        <v>2 Years, 1 Months, 10 Days</v>
      </c>
      <c r="I456" s="16" t="s">
        <v>1135</v>
      </c>
      <c r="J456" s="4" t="s">
        <v>137</v>
      </c>
      <c r="K456" s="6" t="s">
        <v>1136</v>
      </c>
      <c r="L456" s="6"/>
      <c r="M456" s="9">
        <v>529668</v>
      </c>
      <c r="N456" s="4" t="s">
        <v>228</v>
      </c>
      <c r="O456" s="4" t="s">
        <v>211</v>
      </c>
      <c r="P456" s="4" t="s">
        <v>229</v>
      </c>
      <c r="Q456" s="3" t="s">
        <v>123</v>
      </c>
      <c r="R456" s="3" t="s">
        <v>124</v>
      </c>
      <c r="S456" s="4"/>
    </row>
    <row r="457" spans="1:19" ht="17.45">
      <c r="A457" s="3">
        <f>SUBTOTAL(103,$B$4:B457)</f>
        <v>454</v>
      </c>
      <c r="B457" s="8">
        <v>562995</v>
      </c>
      <c r="C457" s="5" t="s">
        <v>1137</v>
      </c>
      <c r="D457" s="4" t="s">
        <v>30</v>
      </c>
      <c r="E457" s="4" t="s">
        <v>1103</v>
      </c>
      <c r="F457" s="30">
        <v>46079</v>
      </c>
      <c r="G457" s="19" t="s">
        <v>279</v>
      </c>
      <c r="H457" s="19" t="str">
        <f t="shared" ca="1" si="7"/>
        <v>0 Years, 3 Months, 8 Days</v>
      </c>
      <c r="I457" s="4" t="s">
        <v>1138</v>
      </c>
      <c r="J457" s="4" t="s">
        <v>173</v>
      </c>
      <c r="K457" s="6" t="s">
        <v>1139</v>
      </c>
      <c r="L457" s="6"/>
      <c r="M457" s="9">
        <v>529668</v>
      </c>
      <c r="N457" s="4" t="s">
        <v>228</v>
      </c>
      <c r="O457" s="4" t="s">
        <v>211</v>
      </c>
      <c r="P457" s="4" t="s">
        <v>229</v>
      </c>
      <c r="Q457" s="3" t="s">
        <v>32</v>
      </c>
      <c r="R457" s="3" t="s">
        <v>33</v>
      </c>
      <c r="S457" s="4"/>
    </row>
    <row r="458" spans="1:19" ht="17.45">
      <c r="A458" s="3">
        <f>SUBTOTAL(103,$B$4:B458)</f>
        <v>455</v>
      </c>
      <c r="B458" s="8">
        <v>563550</v>
      </c>
      <c r="C458" s="5" t="s">
        <v>1140</v>
      </c>
      <c r="D458" s="4" t="s">
        <v>106</v>
      </c>
      <c r="E458" s="4" t="s">
        <v>1103</v>
      </c>
      <c r="F458" s="30">
        <v>46113</v>
      </c>
      <c r="G458" s="19" t="s">
        <v>171</v>
      </c>
      <c r="H458" s="19" t="str">
        <f t="shared" ca="1" si="7"/>
        <v>0 Years, 2 Months, 2 Days</v>
      </c>
      <c r="I458" s="4" t="s">
        <v>1141</v>
      </c>
      <c r="J458" s="4" t="s">
        <v>173</v>
      </c>
      <c r="K458" s="6" t="s">
        <v>1142</v>
      </c>
      <c r="L458" s="6"/>
      <c r="M458" s="9">
        <v>529668</v>
      </c>
      <c r="N458" s="4" t="s">
        <v>228</v>
      </c>
      <c r="O458" s="4" t="s">
        <v>211</v>
      </c>
      <c r="P458" s="4" t="s">
        <v>229</v>
      </c>
      <c r="Q458" s="3" t="s">
        <v>123</v>
      </c>
      <c r="R458" s="3" t="s">
        <v>124</v>
      </c>
      <c r="S458" s="4" t="s">
        <v>1143</v>
      </c>
    </row>
    <row r="459" spans="1:19" ht="17.45">
      <c r="A459" s="3">
        <f>SUBTOTAL(103,$B$4:B459)</f>
        <v>456</v>
      </c>
      <c r="B459" s="8">
        <v>564040</v>
      </c>
      <c r="C459" s="5" t="s">
        <v>1144</v>
      </c>
      <c r="D459" s="4" t="s">
        <v>259</v>
      </c>
      <c r="E459" s="4" t="s">
        <v>1103</v>
      </c>
      <c r="F459" s="30">
        <v>46124</v>
      </c>
      <c r="G459" s="19" t="s">
        <v>171</v>
      </c>
      <c r="H459" s="19" t="str">
        <f t="shared" ca="1" si="7"/>
        <v>0 Years, 1 Months, 22 Days</v>
      </c>
      <c r="I459" s="4" t="s">
        <v>1145</v>
      </c>
      <c r="J459" s="4" t="s">
        <v>173</v>
      </c>
      <c r="K459" s="6" t="s">
        <v>1146</v>
      </c>
      <c r="L459" s="6"/>
      <c r="M459" s="9">
        <v>529668</v>
      </c>
      <c r="N459" s="4" t="s">
        <v>228</v>
      </c>
      <c r="O459" s="4" t="s">
        <v>211</v>
      </c>
      <c r="P459" s="4" t="s">
        <v>229</v>
      </c>
      <c r="Q459" s="3" t="s">
        <v>123</v>
      </c>
      <c r="R459" s="3" t="s">
        <v>124</v>
      </c>
      <c r="S459" s="4" t="s">
        <v>1147</v>
      </c>
    </row>
    <row r="460" spans="1:19" ht="17.45">
      <c r="A460" s="3">
        <f>SUBTOTAL(103,$B$4:B460)</f>
        <v>457</v>
      </c>
      <c r="B460" s="8">
        <v>540251</v>
      </c>
      <c r="C460" s="5" t="s">
        <v>1148</v>
      </c>
      <c r="D460" s="4" t="s">
        <v>35</v>
      </c>
      <c r="E460" s="4" t="s">
        <v>1103</v>
      </c>
      <c r="F460" s="30">
        <v>45265</v>
      </c>
      <c r="G460" s="19" t="s">
        <v>26</v>
      </c>
      <c r="H460" s="19" t="str">
        <f t="shared" ca="1" si="7"/>
        <v>2 Years, 5 Months, 29 Days</v>
      </c>
      <c r="I460" s="4" t="s">
        <v>1149</v>
      </c>
      <c r="J460" s="4" t="s">
        <v>28</v>
      </c>
      <c r="K460" s="6">
        <v>1722863984</v>
      </c>
      <c r="L460" s="6">
        <v>1329645840</v>
      </c>
      <c r="M460" s="9">
        <v>540363</v>
      </c>
      <c r="N460" s="4" t="s">
        <v>210</v>
      </c>
      <c r="O460" s="4" t="s">
        <v>211</v>
      </c>
      <c r="P460" s="4" t="s">
        <v>212</v>
      </c>
      <c r="Q460" s="3" t="s">
        <v>32</v>
      </c>
      <c r="R460" s="3" t="s">
        <v>33</v>
      </c>
      <c r="S460" s="4"/>
    </row>
    <row r="461" spans="1:19" ht="17.45">
      <c r="A461" s="3">
        <f>SUBTOTAL(103,$B$4:B461)</f>
        <v>458</v>
      </c>
      <c r="B461" s="8">
        <v>1592</v>
      </c>
      <c r="C461" s="5" t="s">
        <v>242</v>
      </c>
      <c r="D461" s="4" t="s">
        <v>457</v>
      </c>
      <c r="E461" s="4" t="s">
        <v>1103</v>
      </c>
      <c r="F461" s="30">
        <v>39923</v>
      </c>
      <c r="G461" s="19" t="s">
        <v>239</v>
      </c>
      <c r="H461" s="19" t="str">
        <f t="shared" ca="1" si="7"/>
        <v>17 Years, 1 Months, 14 Days</v>
      </c>
      <c r="I461" s="4" t="s">
        <v>243</v>
      </c>
      <c r="J461" s="4" t="s">
        <v>241</v>
      </c>
      <c r="K461" s="6">
        <v>1712051144</v>
      </c>
      <c r="L461" s="6"/>
      <c r="M461" s="9">
        <v>540363</v>
      </c>
      <c r="N461" s="4" t="s">
        <v>210</v>
      </c>
      <c r="O461" s="4" t="s">
        <v>211</v>
      </c>
      <c r="P461" s="4" t="s">
        <v>212</v>
      </c>
      <c r="Q461" s="3" t="s">
        <v>123</v>
      </c>
      <c r="R461" s="3" t="s">
        <v>124</v>
      </c>
      <c r="S461" s="4" t="s">
        <v>1150</v>
      </c>
    </row>
    <row r="462" spans="1:19" ht="17.45">
      <c r="A462" s="3">
        <f>SUBTOTAL(103,$B$4:B462)</f>
        <v>459</v>
      </c>
      <c r="B462" s="8">
        <v>111295</v>
      </c>
      <c r="C462" s="5" t="s">
        <v>463</v>
      </c>
      <c r="D462" s="4" t="s">
        <v>464</v>
      </c>
      <c r="E462" s="4" t="s">
        <v>1103</v>
      </c>
      <c r="F462" s="30">
        <v>41699</v>
      </c>
      <c r="G462" s="19" t="s">
        <v>152</v>
      </c>
      <c r="H462" s="19" t="str">
        <f t="shared" ca="1" si="7"/>
        <v>12 Years, 3 Months, 2 Days</v>
      </c>
      <c r="I462" s="4" t="s">
        <v>1062</v>
      </c>
      <c r="J462" s="4" t="s">
        <v>154</v>
      </c>
      <c r="K462" s="6">
        <v>1923030355</v>
      </c>
      <c r="L462" s="6">
        <v>1755630220</v>
      </c>
      <c r="M462" s="9"/>
      <c r="N462" s="4" t="s">
        <v>175</v>
      </c>
      <c r="O462" s="4" t="s">
        <v>175</v>
      </c>
      <c r="P462" s="4" t="s">
        <v>175</v>
      </c>
      <c r="Q462" s="3" t="s">
        <v>123</v>
      </c>
      <c r="R462" s="3" t="s">
        <v>124</v>
      </c>
      <c r="S462" s="4" t="s">
        <v>1151</v>
      </c>
    </row>
    <row r="463" spans="1:19" ht="17.45">
      <c r="A463" s="3">
        <f>SUBTOTAL(103,$B$4:B463)</f>
        <v>460</v>
      </c>
      <c r="B463" s="8">
        <v>204848</v>
      </c>
      <c r="C463" s="5" t="s">
        <v>258</v>
      </c>
      <c r="D463" s="4" t="s">
        <v>464</v>
      </c>
      <c r="E463" s="4" t="s">
        <v>1103</v>
      </c>
      <c r="F463" s="30">
        <v>42287</v>
      </c>
      <c r="G463" s="19" t="s">
        <v>144</v>
      </c>
      <c r="H463" s="19" t="str">
        <f t="shared" ca="1" si="7"/>
        <v>10 Years, 7 Months, 24 Days</v>
      </c>
      <c r="I463" s="4" t="s">
        <v>260</v>
      </c>
      <c r="J463" s="4" t="s">
        <v>146</v>
      </c>
      <c r="K463" s="6">
        <v>1914196739</v>
      </c>
      <c r="L463" s="6">
        <v>1755630221</v>
      </c>
      <c r="M463" s="9"/>
      <c r="N463" s="4" t="s">
        <v>175</v>
      </c>
      <c r="O463" s="4" t="s">
        <v>175</v>
      </c>
      <c r="P463" s="4" t="s">
        <v>175</v>
      </c>
      <c r="Q463" s="3" t="s">
        <v>123</v>
      </c>
      <c r="R463" s="3" t="s">
        <v>124</v>
      </c>
      <c r="S463" s="4" t="s">
        <v>1152</v>
      </c>
    </row>
    <row r="464" spans="1:19" ht="17.45">
      <c r="A464" s="3">
        <f>SUBTOTAL(103,$B$4:B464)</f>
        <v>461</v>
      </c>
      <c r="B464" s="8">
        <v>555708</v>
      </c>
      <c r="C464" s="5" t="s">
        <v>351</v>
      </c>
      <c r="D464" s="4" t="s">
        <v>94</v>
      </c>
      <c r="E464" s="4" t="s">
        <v>1103</v>
      </c>
      <c r="F464" s="30">
        <v>45880</v>
      </c>
      <c r="G464" s="19" t="s">
        <v>348</v>
      </c>
      <c r="H464" s="19" t="str">
        <f t="shared" ca="1" si="7"/>
        <v>0 Years, 9 Months, 23 Days</v>
      </c>
      <c r="I464" s="4" t="s">
        <v>352</v>
      </c>
      <c r="J464" s="4" t="s">
        <v>350</v>
      </c>
      <c r="K464" s="6">
        <v>1755630283</v>
      </c>
      <c r="L464" s="6" t="s">
        <v>42</v>
      </c>
      <c r="M464" s="9"/>
      <c r="N464" s="4" t="s">
        <v>175</v>
      </c>
      <c r="O464" s="4" t="s">
        <v>175</v>
      </c>
      <c r="P464" s="4" t="s">
        <v>175</v>
      </c>
      <c r="Q464" s="3" t="s">
        <v>123</v>
      </c>
      <c r="R464" s="3" t="s">
        <v>124</v>
      </c>
      <c r="S464" s="4" t="s">
        <v>1083</v>
      </c>
    </row>
    <row r="465" spans="1:19" ht="17.45">
      <c r="A465" s="3">
        <f>SUBTOTAL(103,$B$4:B465)</f>
        <v>462</v>
      </c>
      <c r="B465" s="8">
        <v>540363</v>
      </c>
      <c r="C465" s="5" t="s">
        <v>210</v>
      </c>
      <c r="D465" s="4" t="s">
        <v>211</v>
      </c>
      <c r="E465" s="4" t="s">
        <v>1103</v>
      </c>
      <c r="F465" s="30">
        <v>45272</v>
      </c>
      <c r="G465" s="19" t="s">
        <v>26</v>
      </c>
      <c r="H465" s="19" t="str">
        <f t="shared" ca="1" si="7"/>
        <v>2 Years, 5 Months, 22 Days</v>
      </c>
      <c r="I465" s="15" t="s">
        <v>212</v>
      </c>
      <c r="J465" s="4" t="s">
        <v>28</v>
      </c>
      <c r="K465" s="6">
        <v>1709816141</v>
      </c>
      <c r="L465" s="6" t="s">
        <v>42</v>
      </c>
      <c r="M465" s="9"/>
      <c r="N465" s="4" t="s">
        <v>175</v>
      </c>
      <c r="O465" s="4" t="s">
        <v>175</v>
      </c>
      <c r="P465" s="4" t="s">
        <v>175</v>
      </c>
      <c r="Q465" s="3" t="s">
        <v>123</v>
      </c>
      <c r="R465" s="3" t="s">
        <v>124</v>
      </c>
      <c r="S465" s="4" t="s">
        <v>1153</v>
      </c>
    </row>
    <row r="466" spans="1:19" ht="17.45">
      <c r="A466" s="3">
        <f>SUBTOTAL(103,$B$4:B466)</f>
        <v>463</v>
      </c>
      <c r="B466" s="8">
        <v>529668</v>
      </c>
      <c r="C466" s="5" t="s">
        <v>228</v>
      </c>
      <c r="D466" s="4" t="s">
        <v>211</v>
      </c>
      <c r="E466" s="4" t="s">
        <v>1103</v>
      </c>
      <c r="F466" s="30">
        <v>44735</v>
      </c>
      <c r="G466" s="19" t="s">
        <v>156</v>
      </c>
      <c r="H466" s="19" t="str">
        <f t="shared" ca="1" si="7"/>
        <v>3 Years, 11 Months, 11 Days</v>
      </c>
      <c r="I466" s="4" t="s">
        <v>229</v>
      </c>
      <c r="J466" s="4" t="s">
        <v>158</v>
      </c>
      <c r="K466" s="6">
        <v>1716503562</v>
      </c>
      <c r="L466" s="6">
        <v>1777743566</v>
      </c>
      <c r="M466" s="9"/>
      <c r="N466" s="4" t="s">
        <v>175</v>
      </c>
      <c r="O466" s="4" t="s">
        <v>175</v>
      </c>
      <c r="P466" s="4" t="s">
        <v>175</v>
      </c>
      <c r="Q466" s="3" t="s">
        <v>123</v>
      </c>
      <c r="R466" s="3" t="s">
        <v>124</v>
      </c>
      <c r="S466" s="4" t="s">
        <v>1154</v>
      </c>
    </row>
    <row r="467" spans="1:19" ht="17.45">
      <c r="A467" s="3">
        <f>SUBTOTAL(103,$B$4:B467)</f>
        <v>464</v>
      </c>
      <c r="B467" s="8">
        <v>548994</v>
      </c>
      <c r="C467" s="5" t="s">
        <v>1155</v>
      </c>
      <c r="D467" s="4" t="s">
        <v>48</v>
      </c>
      <c r="E467" s="4" t="s">
        <v>1103</v>
      </c>
      <c r="F467" s="30">
        <v>45636</v>
      </c>
      <c r="G467" s="19" t="s">
        <v>156</v>
      </c>
      <c r="H467" s="19" t="str">
        <f t="shared" ca="1" si="7"/>
        <v>1 Years, 5 Months, 24 Days</v>
      </c>
      <c r="I467" s="4" t="s">
        <v>1156</v>
      </c>
      <c r="J467" s="4" t="s">
        <v>158</v>
      </c>
      <c r="K467" s="6">
        <v>1403650537</v>
      </c>
      <c r="L467" s="6" t="s">
        <v>42</v>
      </c>
      <c r="M467" s="9">
        <v>539903</v>
      </c>
      <c r="N467" s="4" t="s">
        <v>1157</v>
      </c>
      <c r="O467" s="4" t="str">
        <f>VLOOKUP(Table1[[#This Row],[Supervisors'' Enroll]],[1]EmployeeMonthLyStatus!$B$2:$G$2474,6,FALSE)</f>
        <v>Manager</v>
      </c>
      <c r="P467" s="18" t="s">
        <v>1158</v>
      </c>
      <c r="Q467" s="3" t="s">
        <v>32</v>
      </c>
      <c r="R467" s="3" t="s">
        <v>33</v>
      </c>
      <c r="S467" s="4"/>
    </row>
    <row r="468" spans="1:19" ht="17.45">
      <c r="A468" s="3">
        <f>SUBTOTAL(103,$B$4:B468)</f>
        <v>465</v>
      </c>
      <c r="B468" s="8">
        <v>86179</v>
      </c>
      <c r="C468" s="5" t="s">
        <v>1159</v>
      </c>
      <c r="D468" s="4" t="s">
        <v>24</v>
      </c>
      <c r="E468" s="4" t="s">
        <v>1160</v>
      </c>
      <c r="F468" s="30">
        <v>41553</v>
      </c>
      <c r="G468" s="19" t="s">
        <v>190</v>
      </c>
      <c r="H468" s="19" t="str">
        <f t="shared" ca="1" si="7"/>
        <v>12 Years, 7 Months, 28 Days</v>
      </c>
      <c r="I468" s="4" t="s">
        <v>1161</v>
      </c>
      <c r="J468" s="4" t="s">
        <v>28</v>
      </c>
      <c r="K468" s="6">
        <v>1712889979</v>
      </c>
      <c r="L468" s="6"/>
      <c r="M468" s="9">
        <v>1382</v>
      </c>
      <c r="N468" s="4" t="s">
        <v>627</v>
      </c>
      <c r="O468" s="4" t="s">
        <v>94</v>
      </c>
      <c r="P468" s="4" t="s">
        <v>1162</v>
      </c>
      <c r="Q468" s="3" t="s">
        <v>32</v>
      </c>
      <c r="R468" s="3" t="s">
        <v>33</v>
      </c>
      <c r="S468" s="4"/>
    </row>
    <row r="469" spans="1:19" ht="17.45">
      <c r="A469" s="3">
        <f>SUBTOTAL(103,$B$4:B469)</f>
        <v>466</v>
      </c>
      <c r="B469" s="8">
        <v>129721</v>
      </c>
      <c r="C469" s="5" t="s">
        <v>948</v>
      </c>
      <c r="D469" s="4" t="s">
        <v>30</v>
      </c>
      <c r="E469" s="4" t="s">
        <v>1160</v>
      </c>
      <c r="F469" s="30">
        <v>41861</v>
      </c>
      <c r="G469" s="19" t="s">
        <v>190</v>
      </c>
      <c r="H469" s="19" t="str">
        <f t="shared" ca="1" si="7"/>
        <v>11 Years, 9 Months, 24 Days</v>
      </c>
      <c r="I469" s="4" t="s">
        <v>1163</v>
      </c>
      <c r="J469" s="4" t="s">
        <v>28</v>
      </c>
      <c r="K469" s="6">
        <v>1618547626</v>
      </c>
      <c r="L469" s="6">
        <v>1777743317</v>
      </c>
      <c r="M469" s="9">
        <v>1382</v>
      </c>
      <c r="N469" s="4" t="s">
        <v>627</v>
      </c>
      <c r="O469" s="4" t="s">
        <v>94</v>
      </c>
      <c r="P469" s="4" t="s">
        <v>1162</v>
      </c>
      <c r="Q469" s="3" t="s">
        <v>32</v>
      </c>
      <c r="R469" s="3" t="s">
        <v>33</v>
      </c>
      <c r="S469" s="4"/>
    </row>
    <row r="470" spans="1:19" ht="17.45">
      <c r="A470" s="3">
        <f>SUBTOTAL(103,$B$4:B470)</f>
        <v>467</v>
      </c>
      <c r="B470" s="8">
        <v>153372</v>
      </c>
      <c r="C470" s="5" t="s">
        <v>1164</v>
      </c>
      <c r="D470" s="4" t="s">
        <v>24</v>
      </c>
      <c r="E470" s="4" t="s">
        <v>1160</v>
      </c>
      <c r="F470" s="30">
        <v>41956</v>
      </c>
      <c r="G470" s="19" t="s">
        <v>190</v>
      </c>
      <c r="H470" s="19" t="str">
        <f t="shared" ca="1" si="7"/>
        <v>11 Years, 6 Months, 21 Days</v>
      </c>
      <c r="I470" s="4" t="s">
        <v>1165</v>
      </c>
      <c r="J470" s="4" t="s">
        <v>28</v>
      </c>
      <c r="K470" s="6">
        <v>1725309291</v>
      </c>
      <c r="L470" s="6">
        <v>1713020622</v>
      </c>
      <c r="M470" s="9">
        <v>1382</v>
      </c>
      <c r="N470" s="4" t="s">
        <v>627</v>
      </c>
      <c r="O470" s="4" t="s">
        <v>94</v>
      </c>
      <c r="P470" s="4" t="s">
        <v>1162</v>
      </c>
      <c r="Q470" s="3" t="s">
        <v>32</v>
      </c>
      <c r="R470" s="3" t="s">
        <v>33</v>
      </c>
      <c r="S470" s="4"/>
    </row>
    <row r="471" spans="1:19" ht="17.45">
      <c r="A471" s="3">
        <f>SUBTOTAL(103,$B$4:B471)</f>
        <v>468</v>
      </c>
      <c r="B471" s="8">
        <v>201403</v>
      </c>
      <c r="C471" s="5" t="s">
        <v>76</v>
      </c>
      <c r="D471" s="4" t="s">
        <v>48</v>
      </c>
      <c r="E471" s="4" t="s">
        <v>1160</v>
      </c>
      <c r="F471" s="30">
        <v>42249</v>
      </c>
      <c r="G471" s="19" t="s">
        <v>190</v>
      </c>
      <c r="H471" s="19" t="str">
        <f t="shared" ca="1" si="7"/>
        <v>10 Years, 9 Months, 1 Days</v>
      </c>
      <c r="I471" s="4" t="s">
        <v>1166</v>
      </c>
      <c r="J471" s="4" t="s">
        <v>28</v>
      </c>
      <c r="K471" s="6">
        <v>1718748708</v>
      </c>
      <c r="L471" s="6">
        <v>1787689696</v>
      </c>
      <c r="M471" s="9">
        <v>1382</v>
      </c>
      <c r="N471" s="4" t="s">
        <v>627</v>
      </c>
      <c r="O471" s="4" t="s">
        <v>94</v>
      </c>
      <c r="P471" s="4" t="s">
        <v>1162</v>
      </c>
      <c r="Q471" s="3" t="s">
        <v>32</v>
      </c>
      <c r="R471" s="3" t="s">
        <v>33</v>
      </c>
      <c r="S471" s="4"/>
    </row>
    <row r="472" spans="1:19" ht="17.45">
      <c r="A472" s="3">
        <f>SUBTOTAL(103,$B$4:B472)</f>
        <v>469</v>
      </c>
      <c r="B472" s="8">
        <v>282136</v>
      </c>
      <c r="C472" s="5" t="s">
        <v>1167</v>
      </c>
      <c r="D472" s="4" t="s">
        <v>35</v>
      </c>
      <c r="E472" s="4" t="s">
        <v>1160</v>
      </c>
      <c r="F472" s="30">
        <v>42749</v>
      </c>
      <c r="G472" s="19" t="s">
        <v>190</v>
      </c>
      <c r="H472" s="19" t="str">
        <f t="shared" ca="1" si="7"/>
        <v>9 Years, 4 Months, 20 Days</v>
      </c>
      <c r="I472" s="4" t="s">
        <v>1168</v>
      </c>
      <c r="J472" s="4" t="s">
        <v>28</v>
      </c>
      <c r="K472" s="6">
        <v>1819461058</v>
      </c>
      <c r="L472" s="6">
        <v>1755524938</v>
      </c>
      <c r="M472" s="9">
        <v>1382</v>
      </c>
      <c r="N472" s="4" t="s">
        <v>627</v>
      </c>
      <c r="O472" s="4" t="s">
        <v>94</v>
      </c>
      <c r="P472" s="4" t="s">
        <v>1162</v>
      </c>
      <c r="Q472" s="3" t="s">
        <v>32</v>
      </c>
      <c r="R472" s="3" t="s">
        <v>33</v>
      </c>
      <c r="S472" s="4"/>
    </row>
    <row r="473" spans="1:19" ht="17.45">
      <c r="A473" s="3">
        <f>SUBTOTAL(103,$B$4:B473)</f>
        <v>470</v>
      </c>
      <c r="B473" s="8">
        <v>369868</v>
      </c>
      <c r="C473" s="5" t="s">
        <v>1169</v>
      </c>
      <c r="D473" s="4" t="s">
        <v>35</v>
      </c>
      <c r="E473" s="4" t="s">
        <v>1160</v>
      </c>
      <c r="F473" s="30">
        <v>43208</v>
      </c>
      <c r="G473" s="19" t="s">
        <v>190</v>
      </c>
      <c r="H473" s="19" t="str">
        <f t="shared" ca="1" si="7"/>
        <v>8 Years, 1 Months, 16 Days</v>
      </c>
      <c r="I473" s="4" t="s">
        <v>1170</v>
      </c>
      <c r="J473" s="4" t="s">
        <v>28</v>
      </c>
      <c r="K473" s="6">
        <v>1740157598</v>
      </c>
      <c r="L473" s="6">
        <v>1777743319</v>
      </c>
      <c r="M473" s="9">
        <v>1382</v>
      </c>
      <c r="N473" s="4" t="s">
        <v>627</v>
      </c>
      <c r="O473" s="4" t="s">
        <v>94</v>
      </c>
      <c r="P473" s="4" t="s">
        <v>1162</v>
      </c>
      <c r="Q473" s="3" t="s">
        <v>32</v>
      </c>
      <c r="R473" s="3" t="s">
        <v>33</v>
      </c>
      <c r="S473" s="4"/>
    </row>
    <row r="474" spans="1:19" ht="17.45">
      <c r="A474" s="3">
        <f>SUBTOTAL(103,$B$4:B474)</f>
        <v>471</v>
      </c>
      <c r="B474" s="8">
        <v>458885</v>
      </c>
      <c r="C474" s="5" t="s">
        <v>1171</v>
      </c>
      <c r="D474" s="4" t="s">
        <v>35</v>
      </c>
      <c r="E474" s="4" t="s">
        <v>1160</v>
      </c>
      <c r="F474" s="30">
        <v>43702</v>
      </c>
      <c r="G474" s="19" t="s">
        <v>190</v>
      </c>
      <c r="H474" s="19" t="str">
        <f t="shared" ca="1" si="7"/>
        <v>6 Years, 9 Months, 9 Days</v>
      </c>
      <c r="I474" s="4" t="s">
        <v>1172</v>
      </c>
      <c r="J474" s="4" t="s">
        <v>28</v>
      </c>
      <c r="K474" s="6">
        <v>1735278060</v>
      </c>
      <c r="L474" s="6">
        <v>1787689608</v>
      </c>
      <c r="M474" s="9">
        <v>1382</v>
      </c>
      <c r="N474" s="4" t="s">
        <v>627</v>
      </c>
      <c r="O474" s="4" t="s">
        <v>94</v>
      </c>
      <c r="P474" s="4" t="s">
        <v>1162</v>
      </c>
      <c r="Q474" s="3" t="s">
        <v>32</v>
      </c>
      <c r="R474" s="3" t="s">
        <v>33</v>
      </c>
      <c r="S474" s="4"/>
    </row>
    <row r="475" spans="1:19" ht="17.45">
      <c r="A475" s="3">
        <f>SUBTOTAL(103,$B$4:B475)</f>
        <v>472</v>
      </c>
      <c r="B475" s="8">
        <v>472991</v>
      </c>
      <c r="C475" s="5" t="s">
        <v>1173</v>
      </c>
      <c r="D475" s="4" t="s">
        <v>48</v>
      </c>
      <c r="E475" s="4" t="s">
        <v>1160</v>
      </c>
      <c r="F475" s="30">
        <v>43856</v>
      </c>
      <c r="G475" s="19" t="s">
        <v>190</v>
      </c>
      <c r="H475" s="19" t="str">
        <f t="shared" ca="1" si="7"/>
        <v>6 Years, 4 Months, 8 Days</v>
      </c>
      <c r="I475" s="4" t="s">
        <v>1174</v>
      </c>
      <c r="J475" s="4" t="s">
        <v>28</v>
      </c>
      <c r="K475" s="6">
        <v>1746852508</v>
      </c>
      <c r="L475" s="6" t="s">
        <v>42</v>
      </c>
      <c r="M475" s="9">
        <v>1382</v>
      </c>
      <c r="N475" s="4" t="s">
        <v>627</v>
      </c>
      <c r="O475" s="4" t="s">
        <v>94</v>
      </c>
      <c r="P475" s="4" t="s">
        <v>1162</v>
      </c>
      <c r="Q475" s="3" t="s">
        <v>32</v>
      </c>
      <c r="R475" s="3" t="s">
        <v>33</v>
      </c>
      <c r="S475" s="4"/>
    </row>
    <row r="476" spans="1:19" ht="17.45">
      <c r="A476" s="3">
        <f>SUBTOTAL(103,$B$4:B476)</f>
        <v>473</v>
      </c>
      <c r="B476" s="8">
        <v>1382</v>
      </c>
      <c r="C476" s="5" t="s">
        <v>627</v>
      </c>
      <c r="D476" s="4" t="s">
        <v>94</v>
      </c>
      <c r="E476" s="4" t="s">
        <v>1160</v>
      </c>
      <c r="F476" s="30">
        <v>39133</v>
      </c>
      <c r="G476" s="19" t="s">
        <v>190</v>
      </c>
      <c r="H476" s="19" t="str">
        <f t="shared" ca="1" si="7"/>
        <v>19 Years, 3 Months, 14 Days</v>
      </c>
      <c r="I476" s="4" t="s">
        <v>1162</v>
      </c>
      <c r="J476" s="4" t="s">
        <v>28</v>
      </c>
      <c r="K476" s="6">
        <v>1755524932</v>
      </c>
      <c r="L476" s="6">
        <v>1755524932</v>
      </c>
      <c r="M476" s="9">
        <v>540363</v>
      </c>
      <c r="N476" s="4" t="s">
        <v>210</v>
      </c>
      <c r="O476" s="4" t="s">
        <v>211</v>
      </c>
      <c r="P476" s="4" t="s">
        <v>212</v>
      </c>
      <c r="Q476" s="3" t="s">
        <v>123</v>
      </c>
      <c r="R476" s="3" t="s">
        <v>124</v>
      </c>
      <c r="S476" s="4" t="s">
        <v>1175</v>
      </c>
    </row>
    <row r="477" spans="1:19" ht="17.45">
      <c r="A477" s="3">
        <f>SUBTOTAL(103,$B$4:B477)</f>
        <v>474</v>
      </c>
      <c r="B477" s="8">
        <v>250153</v>
      </c>
      <c r="C477" s="5" t="s">
        <v>522</v>
      </c>
      <c r="D477" s="4" t="s">
        <v>94</v>
      </c>
      <c r="E477" s="4" t="s">
        <v>1160</v>
      </c>
      <c r="F477" s="30">
        <v>42534</v>
      </c>
      <c r="G477" s="19" t="s">
        <v>190</v>
      </c>
      <c r="H477" s="19" t="str">
        <f t="shared" ca="1" si="7"/>
        <v>9 Years, 11 Months, 21 Days</v>
      </c>
      <c r="I477" s="4" t="s">
        <v>523</v>
      </c>
      <c r="J477" s="4" t="s">
        <v>28</v>
      </c>
      <c r="K477" s="6">
        <v>1711902444</v>
      </c>
      <c r="L477" s="6">
        <v>1755630249</v>
      </c>
      <c r="M477" s="9">
        <v>540363</v>
      </c>
      <c r="N477" s="4" t="s">
        <v>210</v>
      </c>
      <c r="O477" s="4" t="s">
        <v>211</v>
      </c>
      <c r="P477" s="4" t="s">
        <v>212</v>
      </c>
      <c r="Q477" s="3" t="s">
        <v>123</v>
      </c>
      <c r="R477" s="3" t="s">
        <v>124</v>
      </c>
      <c r="S477" s="4" t="s">
        <v>1176</v>
      </c>
    </row>
    <row r="478" spans="1:19" ht="17.45">
      <c r="A478" s="3">
        <f>SUBTOTAL(103,$B$4:B478)</f>
        <v>475</v>
      </c>
      <c r="B478" s="8">
        <v>560209</v>
      </c>
      <c r="C478" s="5" t="s">
        <v>1177</v>
      </c>
      <c r="D478" s="4" t="s">
        <v>35</v>
      </c>
      <c r="E478" s="4" t="s">
        <v>1160</v>
      </c>
      <c r="F478" s="30">
        <v>46001</v>
      </c>
      <c r="G478" s="19" t="s">
        <v>533</v>
      </c>
      <c r="H478" s="19" t="str">
        <f t="shared" ca="1" si="7"/>
        <v>0 Years, 5 Months, 24 Days</v>
      </c>
      <c r="I478" s="4" t="s">
        <v>1178</v>
      </c>
      <c r="J478" s="4" t="s">
        <v>146</v>
      </c>
      <c r="K478" s="6">
        <v>1620028033</v>
      </c>
      <c r="L478" s="6" t="s">
        <v>42</v>
      </c>
      <c r="M478" s="9">
        <v>1382</v>
      </c>
      <c r="N478" s="4" t="s">
        <v>627</v>
      </c>
      <c r="O478" s="4" t="str">
        <f>VLOOKUP(Table1[[#This Row],[Supervisors'' Enroll]],[1]EmployeeMonthLyStatus!$B$2:$G$2474,6,FALSE)</f>
        <v>Assistant General Manager</v>
      </c>
      <c r="P478" s="18" t="s">
        <v>1162</v>
      </c>
      <c r="Q478" s="3" t="s">
        <v>32</v>
      </c>
      <c r="R478" s="3" t="s">
        <v>33</v>
      </c>
      <c r="S478" s="4"/>
    </row>
    <row r="479" spans="1:19" ht="17.45">
      <c r="A479" s="3">
        <f>SUBTOTAL(103,$B$4:B479)</f>
        <v>476</v>
      </c>
      <c r="B479" s="8">
        <v>530690</v>
      </c>
      <c r="C479" s="5" t="s">
        <v>1179</v>
      </c>
      <c r="D479" s="4" t="s">
        <v>94</v>
      </c>
      <c r="E479" s="4" t="s">
        <v>1180</v>
      </c>
      <c r="F479" s="30">
        <v>44805</v>
      </c>
      <c r="G479" s="19" t="s">
        <v>533</v>
      </c>
      <c r="H479" s="19" t="str">
        <f t="shared" ca="1" si="7"/>
        <v>3 Years, 9 Months, 2 Days</v>
      </c>
      <c r="I479" s="4" t="s">
        <v>1181</v>
      </c>
      <c r="J479" s="4" t="s">
        <v>146</v>
      </c>
      <c r="K479" s="6">
        <v>1717662710</v>
      </c>
      <c r="L479" s="6">
        <v>1755694309</v>
      </c>
      <c r="M479" s="9">
        <v>204848</v>
      </c>
      <c r="N479" s="4" t="s">
        <v>258</v>
      </c>
      <c r="O479" s="4" t="s">
        <v>259</v>
      </c>
      <c r="P479" s="4" t="s">
        <v>260</v>
      </c>
      <c r="Q479" s="3" t="s">
        <v>123</v>
      </c>
      <c r="R479" s="3" t="s">
        <v>124</v>
      </c>
      <c r="S479" s="4" t="s">
        <v>1180</v>
      </c>
    </row>
    <row r="480" spans="1:19" ht="17.45">
      <c r="A480" s="3">
        <f>SUBTOTAL(103,$B$4:B480)</f>
        <v>477</v>
      </c>
      <c r="B480" s="8">
        <v>537750</v>
      </c>
      <c r="C480" s="5" t="s">
        <v>1182</v>
      </c>
      <c r="D480" s="4" t="s">
        <v>24</v>
      </c>
      <c r="E480" s="4" t="s">
        <v>1180</v>
      </c>
      <c r="F480" s="30">
        <v>45118</v>
      </c>
      <c r="G480" s="19" t="s">
        <v>533</v>
      </c>
      <c r="H480" s="19" t="str">
        <f t="shared" ca="1" si="7"/>
        <v>2 Years, 10 Months, 23 Days</v>
      </c>
      <c r="I480" s="4" t="s">
        <v>1183</v>
      </c>
      <c r="J480" s="4" t="s">
        <v>146</v>
      </c>
      <c r="K480" s="6">
        <v>1921553943</v>
      </c>
      <c r="L480" s="6">
        <v>1324762588</v>
      </c>
      <c r="M480" s="9">
        <v>530690</v>
      </c>
      <c r="N480" s="4" t="s">
        <v>1179</v>
      </c>
      <c r="O480" s="4" t="s">
        <v>94</v>
      </c>
      <c r="P480" s="4" t="s">
        <v>1181</v>
      </c>
      <c r="Q480" s="3" t="s">
        <v>32</v>
      </c>
      <c r="R480" s="3" t="s">
        <v>33</v>
      </c>
      <c r="S480" s="4"/>
    </row>
    <row r="481" spans="1:19" ht="17.45">
      <c r="A481" s="3">
        <f>SUBTOTAL(103,$B$4:B481)</f>
        <v>478</v>
      </c>
      <c r="B481" s="8">
        <v>540608</v>
      </c>
      <c r="C481" s="5" t="s">
        <v>1184</v>
      </c>
      <c r="D481" s="4" t="s">
        <v>48</v>
      </c>
      <c r="E481" s="4" t="s">
        <v>1180</v>
      </c>
      <c r="F481" s="30">
        <v>45287</v>
      </c>
      <c r="G481" s="19" t="s">
        <v>533</v>
      </c>
      <c r="H481" s="19" t="str">
        <f t="shared" ca="1" si="7"/>
        <v>2 Years, 5 Months, 7 Days</v>
      </c>
      <c r="I481" s="4" t="s">
        <v>1185</v>
      </c>
      <c r="J481" s="4" t="s">
        <v>146</v>
      </c>
      <c r="K481" s="6">
        <v>1821423792</v>
      </c>
      <c r="L481" s="6">
        <v>1329645876</v>
      </c>
      <c r="M481" s="9">
        <v>530690</v>
      </c>
      <c r="N481" s="4" t="s">
        <v>1179</v>
      </c>
      <c r="O481" s="4" t="s">
        <v>94</v>
      </c>
      <c r="P481" s="4" t="s">
        <v>1181</v>
      </c>
      <c r="Q481" s="3" t="s">
        <v>32</v>
      </c>
      <c r="R481" s="3" t="s">
        <v>33</v>
      </c>
      <c r="S481" s="4"/>
    </row>
    <row r="482" spans="1:19" ht="17.45">
      <c r="A482" s="3">
        <f>SUBTOTAL(103,$B$4:B482)</f>
        <v>479</v>
      </c>
      <c r="B482" s="8">
        <v>546711</v>
      </c>
      <c r="C482" s="5" t="s">
        <v>1186</v>
      </c>
      <c r="D482" s="4" t="s">
        <v>48</v>
      </c>
      <c r="E482" s="4" t="s">
        <v>1180</v>
      </c>
      <c r="F482" s="30">
        <v>45580</v>
      </c>
      <c r="G482" s="19" t="s">
        <v>533</v>
      </c>
      <c r="H482" s="19" t="str">
        <f t="shared" ca="1" si="7"/>
        <v>1 Years, 7 Months, 19 Days</v>
      </c>
      <c r="I482" s="4" t="s">
        <v>1187</v>
      </c>
      <c r="J482" s="4" t="s">
        <v>146</v>
      </c>
      <c r="K482" s="6">
        <v>1518435231</v>
      </c>
      <c r="L482" s="6" t="s">
        <v>42</v>
      </c>
      <c r="M482" s="9">
        <v>530690</v>
      </c>
      <c r="N482" s="4" t="s">
        <v>1179</v>
      </c>
      <c r="O482" s="4" t="s">
        <v>94</v>
      </c>
      <c r="P482" s="4" t="s">
        <v>1181</v>
      </c>
      <c r="Q482" s="3" t="s">
        <v>32</v>
      </c>
      <c r="R482" s="3" t="s">
        <v>33</v>
      </c>
      <c r="S482" s="4"/>
    </row>
    <row r="483" spans="1:19" ht="17.45">
      <c r="A483" s="3">
        <f>SUBTOTAL(103,$B$4:B483)</f>
        <v>480</v>
      </c>
      <c r="B483" s="8">
        <v>563585</v>
      </c>
      <c r="C483" s="5" t="s">
        <v>1188</v>
      </c>
      <c r="D483" s="4" t="s">
        <v>35</v>
      </c>
      <c r="E483" s="4" t="s">
        <v>1180</v>
      </c>
      <c r="F483" s="30">
        <v>46114</v>
      </c>
      <c r="G483" s="19" t="s">
        <v>533</v>
      </c>
      <c r="H483" s="19" t="str">
        <f t="shared" ca="1" si="7"/>
        <v>0 Years, 2 Months, 1 Days</v>
      </c>
      <c r="I483" s="4" t="s">
        <v>1189</v>
      </c>
      <c r="J483" s="4" t="s">
        <v>146</v>
      </c>
      <c r="K483" s="6" t="s">
        <v>1190</v>
      </c>
      <c r="L483" s="6"/>
      <c r="M483" s="9">
        <v>530690</v>
      </c>
      <c r="N483" s="4" t="s">
        <v>1179</v>
      </c>
      <c r="O483" s="4" t="s">
        <v>94</v>
      </c>
      <c r="P483" s="4" t="s">
        <v>1181</v>
      </c>
      <c r="Q483" s="3" t="s">
        <v>32</v>
      </c>
      <c r="R483" s="3" t="s">
        <v>33</v>
      </c>
      <c r="S483" s="4"/>
    </row>
    <row r="484" spans="1:19" ht="17.45">
      <c r="A484" s="3">
        <f>SUBTOTAL(103,$B$4:B484)</f>
        <v>481</v>
      </c>
      <c r="B484" s="8">
        <v>540614</v>
      </c>
      <c r="C484" s="5" t="s">
        <v>1191</v>
      </c>
      <c r="D484" s="4" t="s">
        <v>61</v>
      </c>
      <c r="E484" s="4" t="s">
        <v>1192</v>
      </c>
      <c r="F484" s="30">
        <v>45287</v>
      </c>
      <c r="G484" s="19" t="s">
        <v>144</v>
      </c>
      <c r="H484" s="19" t="str">
        <f t="shared" ca="1" si="7"/>
        <v>2 Years, 5 Months, 7 Days</v>
      </c>
      <c r="I484" s="4" t="s">
        <v>1193</v>
      </c>
      <c r="J484" s="4" t="s">
        <v>146</v>
      </c>
      <c r="K484" s="6">
        <v>1722361142</v>
      </c>
      <c r="L484" s="6">
        <v>1329645875</v>
      </c>
      <c r="M484" s="9">
        <v>204848</v>
      </c>
      <c r="N484" s="4" t="s">
        <v>258</v>
      </c>
      <c r="O484" s="4" t="s">
        <v>259</v>
      </c>
      <c r="P484" s="4" t="s">
        <v>260</v>
      </c>
      <c r="Q484" s="3" t="s">
        <v>32</v>
      </c>
      <c r="R484" s="3" t="s">
        <v>33</v>
      </c>
      <c r="S484" s="4"/>
    </row>
    <row r="485" spans="1:19" ht="17.45">
      <c r="A485" s="3">
        <f>SUBTOTAL(103,$B$4:B485)</f>
        <v>482</v>
      </c>
      <c r="B485" s="8">
        <v>551599</v>
      </c>
      <c r="C485" s="5" t="s">
        <v>1194</v>
      </c>
      <c r="D485" s="4" t="s">
        <v>35</v>
      </c>
      <c r="E485" s="4" t="s">
        <v>1192</v>
      </c>
      <c r="F485" s="30">
        <v>45726</v>
      </c>
      <c r="G485" s="19" t="s">
        <v>533</v>
      </c>
      <c r="H485" s="19" t="str">
        <f t="shared" ca="1" si="7"/>
        <v>1 Years, 2 Months, 24 Days</v>
      </c>
      <c r="I485" s="4" t="s">
        <v>1195</v>
      </c>
      <c r="J485" s="4" t="s">
        <v>146</v>
      </c>
      <c r="K485" s="6">
        <v>1722655196</v>
      </c>
      <c r="L485" s="6" t="s">
        <v>42</v>
      </c>
      <c r="M485" s="9">
        <v>540614</v>
      </c>
      <c r="N485" s="4" t="s">
        <v>1191</v>
      </c>
      <c r="O485" s="4" t="s">
        <v>61</v>
      </c>
      <c r="P485" s="4" t="s">
        <v>1193</v>
      </c>
      <c r="Q485" s="3" t="s">
        <v>32</v>
      </c>
      <c r="R485" s="3" t="s">
        <v>33</v>
      </c>
      <c r="S485" s="4"/>
    </row>
    <row r="486" spans="1:19" ht="17.45">
      <c r="A486" s="3">
        <f>SUBTOTAL(103,$B$4:B486)</f>
        <v>483</v>
      </c>
      <c r="B486" s="8">
        <v>549501</v>
      </c>
      <c r="C486" s="5" t="s">
        <v>1196</v>
      </c>
      <c r="D486" s="4" t="s">
        <v>48</v>
      </c>
      <c r="E486" s="4" t="s">
        <v>1197</v>
      </c>
      <c r="F486" s="30">
        <v>45656</v>
      </c>
      <c r="G486" s="19" t="s">
        <v>190</v>
      </c>
      <c r="H486" s="19" t="str">
        <f t="shared" ca="1" si="7"/>
        <v>1 Years, 5 Months, 4 Days</v>
      </c>
      <c r="I486" s="15" t="s">
        <v>1198</v>
      </c>
      <c r="J486" s="4" t="s">
        <v>28</v>
      </c>
      <c r="K486" s="6">
        <v>1680560899</v>
      </c>
      <c r="L486" s="6" t="s">
        <v>42</v>
      </c>
      <c r="M486" s="9">
        <v>525914</v>
      </c>
      <c r="N486" s="4" t="s">
        <v>264</v>
      </c>
      <c r="O486" s="4" t="s">
        <v>24</v>
      </c>
      <c r="P486" s="4" t="s">
        <v>265</v>
      </c>
      <c r="Q486" s="3" t="s">
        <v>32</v>
      </c>
      <c r="R486" s="3" t="s">
        <v>33</v>
      </c>
      <c r="S486" s="4"/>
    </row>
    <row r="487" spans="1:19" ht="17.45">
      <c r="A487" s="3">
        <f>SUBTOTAL(103,$B$4:B487)</f>
        <v>484</v>
      </c>
      <c r="B487" s="8">
        <v>558842</v>
      </c>
      <c r="C487" s="5" t="s">
        <v>1199</v>
      </c>
      <c r="D487" s="4" t="s">
        <v>38</v>
      </c>
      <c r="E487" s="4" t="s">
        <v>1197</v>
      </c>
      <c r="F487" s="30">
        <v>45963</v>
      </c>
      <c r="G487" s="19" t="s">
        <v>190</v>
      </c>
      <c r="H487" s="19" t="str">
        <f t="shared" ca="1" si="7"/>
        <v>0 Years, 7 Months, 1 Days</v>
      </c>
      <c r="I487" s="15" t="s">
        <v>1200</v>
      </c>
      <c r="J487" s="4" t="s">
        <v>28</v>
      </c>
      <c r="K487" s="6">
        <v>1329580278</v>
      </c>
      <c r="L487" s="6" t="s">
        <v>42</v>
      </c>
      <c r="M487" s="9">
        <v>525914</v>
      </c>
      <c r="N487" s="4" t="s">
        <v>264</v>
      </c>
      <c r="O487" s="4" t="s">
        <v>24</v>
      </c>
      <c r="P487" s="4" t="s">
        <v>265</v>
      </c>
      <c r="Q487" s="3" t="s">
        <v>32</v>
      </c>
      <c r="R487" s="3" t="s">
        <v>124</v>
      </c>
      <c r="S487" s="4"/>
    </row>
    <row r="488" spans="1:19" ht="17.45">
      <c r="A488" s="3">
        <f>SUBTOTAL(103,$B$4:B488)</f>
        <v>485</v>
      </c>
      <c r="B488" s="8">
        <v>558843</v>
      </c>
      <c r="C488" s="5" t="s">
        <v>1201</v>
      </c>
      <c r="D488" s="4" t="s">
        <v>35</v>
      </c>
      <c r="E488" s="4" t="s">
        <v>1197</v>
      </c>
      <c r="F488" s="30">
        <v>45963</v>
      </c>
      <c r="G488" s="19" t="s">
        <v>190</v>
      </c>
      <c r="H488" s="19" t="str">
        <f t="shared" ca="1" si="7"/>
        <v>0 Years, 7 Months, 1 Days</v>
      </c>
      <c r="I488" s="4" t="s">
        <v>1202</v>
      </c>
      <c r="J488" s="4" t="s">
        <v>28</v>
      </c>
      <c r="K488" s="6">
        <v>1683141631</v>
      </c>
      <c r="L488" s="6" t="s">
        <v>42</v>
      </c>
      <c r="M488" s="9">
        <v>525914</v>
      </c>
      <c r="N488" s="4" t="s">
        <v>264</v>
      </c>
      <c r="O488" s="4" t="s">
        <v>24</v>
      </c>
      <c r="P488" s="4" t="s">
        <v>265</v>
      </c>
      <c r="Q488" s="3" t="s">
        <v>32</v>
      </c>
      <c r="R488" s="3" t="s">
        <v>33</v>
      </c>
      <c r="S488" s="4"/>
    </row>
    <row r="489" spans="1:19" ht="17.45">
      <c r="A489" s="3">
        <f>SUBTOTAL(103,$B$4:B489)</f>
        <v>486</v>
      </c>
      <c r="B489" s="8">
        <v>560065</v>
      </c>
      <c r="C489" s="5" t="s">
        <v>1203</v>
      </c>
      <c r="D489" s="4" t="s">
        <v>48</v>
      </c>
      <c r="E489" s="4" t="s">
        <v>1197</v>
      </c>
      <c r="F489" s="30">
        <v>45997</v>
      </c>
      <c r="G489" s="19" t="s">
        <v>26</v>
      </c>
      <c r="H489" s="19" t="str">
        <f t="shared" ca="1" si="7"/>
        <v>0 Years, 5 Months, 28 Days</v>
      </c>
      <c r="I489" s="4" t="s">
        <v>1204</v>
      </c>
      <c r="J489" s="4" t="s">
        <v>28</v>
      </c>
      <c r="K489" s="6">
        <v>1995550061</v>
      </c>
      <c r="L489" s="6" t="s">
        <v>42</v>
      </c>
      <c r="M489" s="9">
        <v>525914</v>
      </c>
      <c r="N489" s="4" t="s">
        <v>264</v>
      </c>
      <c r="O489" s="4" t="s">
        <v>24</v>
      </c>
      <c r="P489" s="4" t="s">
        <v>265</v>
      </c>
      <c r="Q489" s="3" t="s">
        <v>32</v>
      </c>
      <c r="R489" s="3" t="s">
        <v>33</v>
      </c>
      <c r="S489" s="4"/>
    </row>
    <row r="490" spans="1:19" ht="17.45">
      <c r="A490" s="3">
        <f>SUBTOTAL(103,$B$4:B490)</f>
        <v>487</v>
      </c>
      <c r="B490" s="8">
        <v>560069</v>
      </c>
      <c r="C490" s="5" t="s">
        <v>1205</v>
      </c>
      <c r="D490" s="4" t="s">
        <v>35</v>
      </c>
      <c r="E490" s="4" t="s">
        <v>1197</v>
      </c>
      <c r="F490" s="30">
        <v>45997</v>
      </c>
      <c r="G490" s="19" t="s">
        <v>26</v>
      </c>
      <c r="H490" s="19" t="str">
        <f t="shared" ca="1" si="7"/>
        <v>0 Years, 5 Months, 28 Days</v>
      </c>
      <c r="I490" s="4" t="s">
        <v>1206</v>
      </c>
      <c r="J490" s="4" t="s">
        <v>28</v>
      </c>
      <c r="K490" s="6">
        <v>1711130642</v>
      </c>
      <c r="L490" s="6" t="s">
        <v>42</v>
      </c>
      <c r="M490" s="9">
        <v>525914</v>
      </c>
      <c r="N490" s="4" t="s">
        <v>264</v>
      </c>
      <c r="O490" s="4" t="s">
        <v>24</v>
      </c>
      <c r="P490" s="4" t="s">
        <v>265</v>
      </c>
      <c r="Q490" s="3" t="s">
        <v>32</v>
      </c>
      <c r="R490" s="3" t="s">
        <v>33</v>
      </c>
      <c r="S490" s="4"/>
    </row>
    <row r="491" spans="1:19" ht="17.45">
      <c r="A491" s="3">
        <f>SUBTOTAL(103,$B$4:B491)</f>
        <v>488</v>
      </c>
      <c r="B491" s="8">
        <v>525700</v>
      </c>
      <c r="C491" s="5" t="s">
        <v>1207</v>
      </c>
      <c r="D491" s="4" t="s">
        <v>48</v>
      </c>
      <c r="E491" s="4" t="s">
        <v>1197</v>
      </c>
      <c r="F491" s="30">
        <v>44602</v>
      </c>
      <c r="G491" s="19" t="s">
        <v>533</v>
      </c>
      <c r="H491" s="19" t="str">
        <f t="shared" ca="1" si="7"/>
        <v>4 Years, 3 Months, 24 Days</v>
      </c>
      <c r="I491" s="4" t="s">
        <v>1208</v>
      </c>
      <c r="J491" s="4" t="s">
        <v>146</v>
      </c>
      <c r="K491" s="6">
        <v>1950159220</v>
      </c>
      <c r="L491" s="6" t="s">
        <v>42</v>
      </c>
      <c r="M491" s="9">
        <v>525914</v>
      </c>
      <c r="N491" s="4" t="s">
        <v>264</v>
      </c>
      <c r="O491" s="4" t="s">
        <v>24</v>
      </c>
      <c r="P491" s="4" t="s">
        <v>265</v>
      </c>
      <c r="Q491" s="3" t="s">
        <v>32</v>
      </c>
      <c r="R491" s="3" t="s">
        <v>33</v>
      </c>
      <c r="S491" s="4"/>
    </row>
    <row r="492" spans="1:19" ht="17.45">
      <c r="A492" s="3">
        <f>SUBTOTAL(103,$B$4:B492)</f>
        <v>489</v>
      </c>
      <c r="B492" s="8">
        <v>533884</v>
      </c>
      <c r="C492" s="5" t="s">
        <v>1209</v>
      </c>
      <c r="D492" s="4" t="s">
        <v>35</v>
      </c>
      <c r="E492" s="4" t="s">
        <v>1197</v>
      </c>
      <c r="F492" s="30">
        <v>44927</v>
      </c>
      <c r="G492" s="19" t="s">
        <v>144</v>
      </c>
      <c r="H492" s="19" t="str">
        <f t="shared" ca="1" si="7"/>
        <v>3 Years, 5 Months, 2 Days</v>
      </c>
      <c r="I492" s="4" t="s">
        <v>1210</v>
      </c>
      <c r="J492" s="4" t="s">
        <v>146</v>
      </c>
      <c r="K492" s="6">
        <v>1630303060</v>
      </c>
      <c r="L492" s="6">
        <v>1324762610</v>
      </c>
      <c r="M492" s="9">
        <v>525914</v>
      </c>
      <c r="N492" s="4" t="s">
        <v>264</v>
      </c>
      <c r="O492" s="4" t="s">
        <v>24</v>
      </c>
      <c r="P492" s="4" t="s">
        <v>265</v>
      </c>
      <c r="Q492" s="3" t="s">
        <v>32</v>
      </c>
      <c r="R492" s="3" t="s">
        <v>33</v>
      </c>
      <c r="S492" s="4"/>
    </row>
    <row r="493" spans="1:19" ht="17.45">
      <c r="A493" s="3">
        <f>SUBTOTAL(103,$B$4:B493)</f>
        <v>490</v>
      </c>
      <c r="B493" s="8">
        <v>542040</v>
      </c>
      <c r="C493" s="5" t="s">
        <v>1211</v>
      </c>
      <c r="D493" s="4" t="s">
        <v>48</v>
      </c>
      <c r="E493" s="4" t="s">
        <v>1197</v>
      </c>
      <c r="F493" s="30">
        <v>45362</v>
      </c>
      <c r="G493" s="19" t="s">
        <v>533</v>
      </c>
      <c r="H493" s="19" t="str">
        <f t="shared" ca="1" si="7"/>
        <v>2 Years, 2 Months, 23 Days</v>
      </c>
      <c r="I493" s="15" t="s">
        <v>1212</v>
      </c>
      <c r="J493" s="4" t="s">
        <v>146</v>
      </c>
      <c r="K493" s="6">
        <v>1911856333</v>
      </c>
      <c r="L493" s="6">
        <v>1334762303</v>
      </c>
      <c r="M493" s="9">
        <v>525914</v>
      </c>
      <c r="N493" s="4" t="s">
        <v>264</v>
      </c>
      <c r="O493" s="4" t="s">
        <v>24</v>
      </c>
      <c r="P493" s="4" t="s">
        <v>265</v>
      </c>
      <c r="Q493" s="3" t="s">
        <v>32</v>
      </c>
      <c r="R493" s="3" t="s">
        <v>33</v>
      </c>
      <c r="S493" s="4"/>
    </row>
    <row r="494" spans="1:19" ht="17.45">
      <c r="A494" s="3">
        <f>SUBTOTAL(103,$B$4:B494)</f>
        <v>491</v>
      </c>
      <c r="B494" s="8">
        <v>553777</v>
      </c>
      <c r="C494" s="5" t="s">
        <v>1213</v>
      </c>
      <c r="D494" s="4" t="s">
        <v>38</v>
      </c>
      <c r="E494" s="4" t="s">
        <v>1197</v>
      </c>
      <c r="F494" s="30">
        <v>45802</v>
      </c>
      <c r="G494" s="19" t="s">
        <v>1107</v>
      </c>
      <c r="H494" s="19" t="str">
        <f t="shared" ca="1" si="7"/>
        <v>1 Years, 0 Months, 9 Days</v>
      </c>
      <c r="I494" s="15" t="s">
        <v>1214</v>
      </c>
      <c r="J494" s="4" t="s">
        <v>154</v>
      </c>
      <c r="K494" s="6">
        <v>1580999735</v>
      </c>
      <c r="L494" s="6" t="s">
        <v>42</v>
      </c>
      <c r="M494" s="9">
        <v>525914</v>
      </c>
      <c r="N494" s="4" t="s">
        <v>264</v>
      </c>
      <c r="O494" s="4" t="s">
        <v>24</v>
      </c>
      <c r="P494" s="4" t="s">
        <v>265</v>
      </c>
      <c r="Q494" s="3" t="s">
        <v>32</v>
      </c>
      <c r="R494" s="3" t="s">
        <v>33</v>
      </c>
      <c r="S494" s="4"/>
    </row>
    <row r="495" spans="1:19" ht="17.45">
      <c r="A495" s="3">
        <f>SUBTOTAL(103,$B$4:B495)</f>
        <v>492</v>
      </c>
      <c r="B495" s="8">
        <v>563359</v>
      </c>
      <c r="C495" s="5" t="s">
        <v>1215</v>
      </c>
      <c r="D495" s="4" t="s">
        <v>30</v>
      </c>
      <c r="E495" s="4" t="s">
        <v>1197</v>
      </c>
      <c r="F495" s="30">
        <v>46096</v>
      </c>
      <c r="G495" s="19" t="s">
        <v>190</v>
      </c>
      <c r="H495" s="19" t="str">
        <f t="shared" ca="1" si="7"/>
        <v>0 Years, 2 Months, 19 Days</v>
      </c>
      <c r="I495" s="4" t="s">
        <v>1216</v>
      </c>
      <c r="J495" s="4" t="s">
        <v>28</v>
      </c>
      <c r="K495" s="6" t="s">
        <v>1217</v>
      </c>
      <c r="L495" s="6"/>
      <c r="M495" s="9">
        <v>557769</v>
      </c>
      <c r="N495" s="4" t="s">
        <v>264</v>
      </c>
      <c r="O495" s="4" t="s">
        <v>1218</v>
      </c>
      <c r="P495" s="4" t="s">
        <v>1219</v>
      </c>
      <c r="Q495" s="3" t="s">
        <v>32</v>
      </c>
      <c r="R495" s="3" t="s">
        <v>33</v>
      </c>
      <c r="S495" s="4"/>
    </row>
    <row r="496" spans="1:19" ht="17.45">
      <c r="A496" s="3">
        <f>SUBTOTAL(103,$B$4:B496)</f>
        <v>493</v>
      </c>
      <c r="B496" s="8">
        <v>563360</v>
      </c>
      <c r="C496" s="5" t="s">
        <v>1220</v>
      </c>
      <c r="D496" s="4" t="s">
        <v>38</v>
      </c>
      <c r="E496" s="4" t="s">
        <v>1197</v>
      </c>
      <c r="F496" s="30">
        <v>46096</v>
      </c>
      <c r="G496" s="19" t="s">
        <v>190</v>
      </c>
      <c r="H496" s="19" t="str">
        <f t="shared" ca="1" si="7"/>
        <v>0 Years, 2 Months, 19 Days</v>
      </c>
      <c r="I496" s="4" t="s">
        <v>1221</v>
      </c>
      <c r="J496" s="4" t="s">
        <v>28</v>
      </c>
      <c r="K496" s="6" t="s">
        <v>1222</v>
      </c>
      <c r="L496" s="6"/>
      <c r="M496" s="9">
        <v>557769</v>
      </c>
      <c r="N496" s="4" t="s">
        <v>264</v>
      </c>
      <c r="O496" s="4" t="s">
        <v>1218</v>
      </c>
      <c r="P496" s="4" t="s">
        <v>1219</v>
      </c>
      <c r="Q496" s="3" t="s">
        <v>32</v>
      </c>
      <c r="R496" s="3" t="s">
        <v>33</v>
      </c>
      <c r="S496" s="4"/>
    </row>
    <row r="497" spans="1:19" ht="17.45">
      <c r="A497" s="3">
        <f>SUBTOTAL(103,$B$4:B497)</f>
        <v>494</v>
      </c>
      <c r="B497" s="8">
        <v>525914</v>
      </c>
      <c r="C497" s="5" t="s">
        <v>264</v>
      </c>
      <c r="D497" s="4" t="s">
        <v>24</v>
      </c>
      <c r="E497" s="4" t="s">
        <v>1197</v>
      </c>
      <c r="F497" s="30">
        <v>44621</v>
      </c>
      <c r="G497" s="19" t="s">
        <v>533</v>
      </c>
      <c r="H497" s="19" t="str">
        <f t="shared" ca="1" si="7"/>
        <v>4 Years, 3 Months, 2 Days</v>
      </c>
      <c r="I497" s="4" t="s">
        <v>265</v>
      </c>
      <c r="J497" s="4" t="s">
        <v>146</v>
      </c>
      <c r="K497" s="6">
        <v>1722629784</v>
      </c>
      <c r="L497" s="6">
        <v>1324762640</v>
      </c>
      <c r="M497" s="9"/>
      <c r="N497" s="4" t="s">
        <v>373</v>
      </c>
      <c r="O497" s="4" t="s">
        <v>374</v>
      </c>
      <c r="P497" s="18"/>
      <c r="Q497" s="3" t="s">
        <v>32</v>
      </c>
      <c r="R497" s="3" t="s">
        <v>124</v>
      </c>
      <c r="S497" s="4"/>
    </row>
    <row r="498" spans="1:19" ht="17.25">
      <c r="A498" s="3">
        <f>SUBTOTAL(103,$B$4:B498)</f>
        <v>495</v>
      </c>
      <c r="B498" s="8">
        <v>110761</v>
      </c>
      <c r="C498" s="5" t="s">
        <v>664</v>
      </c>
      <c r="D498" s="4" t="s">
        <v>30</v>
      </c>
      <c r="E498" s="4" t="s">
        <v>1223</v>
      </c>
      <c r="F498" s="30">
        <v>41672</v>
      </c>
      <c r="G498" s="19" t="s">
        <v>26</v>
      </c>
      <c r="H498" s="19" t="str">
        <f t="shared" ca="1" si="7"/>
        <v>12 Years, 4 Months, 1 Days</v>
      </c>
      <c r="I498" s="15" t="s">
        <v>1224</v>
      </c>
      <c r="J498" s="4" t="s">
        <v>28</v>
      </c>
      <c r="K498" s="6">
        <v>1791728143</v>
      </c>
      <c r="L498" s="6">
        <v>1755516496</v>
      </c>
      <c r="M498" s="9">
        <v>559964</v>
      </c>
      <c r="N498" s="4" t="s">
        <v>385</v>
      </c>
      <c r="O498" s="4" t="s">
        <v>106</v>
      </c>
      <c r="P498" s="4" t="s">
        <v>386</v>
      </c>
      <c r="Q498" s="3" t="s">
        <v>32</v>
      </c>
      <c r="R498" s="3" t="s">
        <v>33</v>
      </c>
      <c r="S498" s="4"/>
    </row>
    <row r="499" spans="1:19" ht="17.45">
      <c r="A499" s="3">
        <f>SUBTOTAL(103,$B$4:B499)</f>
        <v>496</v>
      </c>
      <c r="B499" s="8">
        <v>537214</v>
      </c>
      <c r="C499" s="5" t="s">
        <v>1225</v>
      </c>
      <c r="D499" s="4" t="s">
        <v>48</v>
      </c>
      <c r="E499" s="4" t="s">
        <v>1226</v>
      </c>
      <c r="F499" s="30">
        <v>45075</v>
      </c>
      <c r="G499" s="19" t="s">
        <v>533</v>
      </c>
      <c r="H499" s="19" t="str">
        <f t="shared" ca="1" si="7"/>
        <v>3 Years, 0 Months, 5 Days</v>
      </c>
      <c r="I499" s="4" t="s">
        <v>1227</v>
      </c>
      <c r="J499" s="4" t="s">
        <v>146</v>
      </c>
      <c r="K499" s="6">
        <v>1521205784</v>
      </c>
      <c r="L499" s="6">
        <v>1324762454</v>
      </c>
      <c r="M499" s="9">
        <v>530690</v>
      </c>
      <c r="N499" s="4" t="s">
        <v>1179</v>
      </c>
      <c r="O499" s="4" t="s">
        <v>94</v>
      </c>
      <c r="P499" s="4" t="s">
        <v>1181</v>
      </c>
      <c r="Q499" s="3" t="s">
        <v>32</v>
      </c>
      <c r="R499" s="3" t="s">
        <v>33</v>
      </c>
      <c r="S499" s="4"/>
    </row>
    <row r="500" spans="1:19" ht="17.45">
      <c r="A500" s="3">
        <f>SUBTOTAL(103,$B$4:B500)</f>
        <v>497</v>
      </c>
      <c r="B500" s="8">
        <v>540609</v>
      </c>
      <c r="C500" s="5" t="s">
        <v>1228</v>
      </c>
      <c r="D500" s="4" t="s">
        <v>35</v>
      </c>
      <c r="E500" s="4" t="s">
        <v>1226</v>
      </c>
      <c r="F500" s="30">
        <v>45287</v>
      </c>
      <c r="G500" s="19" t="s">
        <v>533</v>
      </c>
      <c r="H500" s="19" t="str">
        <f t="shared" ca="1" si="7"/>
        <v>2 Years, 5 Months, 7 Days</v>
      </c>
      <c r="I500" s="4" t="s">
        <v>1229</v>
      </c>
      <c r="J500" s="4" t="s">
        <v>146</v>
      </c>
      <c r="K500" s="6">
        <v>1734099128</v>
      </c>
      <c r="L500" s="6">
        <v>1329645874</v>
      </c>
      <c r="M500" s="9">
        <v>530690</v>
      </c>
      <c r="N500" s="4" t="s">
        <v>1179</v>
      </c>
      <c r="O500" s="4" t="s">
        <v>94</v>
      </c>
      <c r="P500" s="4" t="s">
        <v>1181</v>
      </c>
      <c r="Q500" s="3" t="s">
        <v>32</v>
      </c>
      <c r="R500" s="3" t="s">
        <v>33</v>
      </c>
      <c r="S500" s="4"/>
    </row>
    <row r="501" spans="1:19" ht="17.45">
      <c r="A501" s="3">
        <f>SUBTOTAL(103,$B$4:B501)</f>
        <v>498</v>
      </c>
      <c r="B501" s="8">
        <v>536154</v>
      </c>
      <c r="C501" s="5" t="s">
        <v>1230</v>
      </c>
      <c r="D501" s="4" t="s">
        <v>61</v>
      </c>
      <c r="E501" s="4" t="s">
        <v>1231</v>
      </c>
      <c r="F501" s="30">
        <v>44997</v>
      </c>
      <c r="G501" s="19" t="s">
        <v>171</v>
      </c>
      <c r="H501" s="19" t="str">
        <f t="shared" ca="1" si="7"/>
        <v>3 Years, 2 Months, 22 Days</v>
      </c>
      <c r="I501" s="4" t="s">
        <v>1232</v>
      </c>
      <c r="J501" s="4" t="s">
        <v>173</v>
      </c>
      <c r="K501" s="6">
        <v>1713920228</v>
      </c>
      <c r="L501" s="6">
        <v>1713020540</v>
      </c>
      <c r="M501" s="9">
        <v>529668</v>
      </c>
      <c r="N501" s="4" t="s">
        <v>228</v>
      </c>
      <c r="O501" s="4" t="s">
        <v>211</v>
      </c>
      <c r="P501" s="4" t="s">
        <v>229</v>
      </c>
      <c r="Q501" s="3" t="s">
        <v>32</v>
      </c>
      <c r="R501" s="3" t="s">
        <v>33</v>
      </c>
      <c r="S501" s="4"/>
    </row>
    <row r="502" spans="1:19" ht="17.45">
      <c r="A502" s="3">
        <f>SUBTOTAL(103,$B$4:B502)</f>
        <v>499</v>
      </c>
      <c r="B502" s="8">
        <v>524241</v>
      </c>
      <c r="C502" s="5" t="s">
        <v>1233</v>
      </c>
      <c r="D502" s="4" t="s">
        <v>61</v>
      </c>
      <c r="E502" s="4" t="s">
        <v>1231</v>
      </c>
      <c r="F502" s="30">
        <v>44488</v>
      </c>
      <c r="G502" s="19" t="s">
        <v>26</v>
      </c>
      <c r="H502" s="19" t="str">
        <f t="shared" ca="1" si="7"/>
        <v>4 Years, 7 Months, 15 Days</v>
      </c>
      <c r="I502" s="4" t="s">
        <v>1234</v>
      </c>
      <c r="J502" s="4" t="s">
        <v>28</v>
      </c>
      <c r="K502" s="6">
        <v>1674698744</v>
      </c>
      <c r="L502" s="6">
        <v>1755630298</v>
      </c>
      <c r="M502" s="9">
        <v>549569</v>
      </c>
      <c r="N502" s="4" t="s">
        <v>427</v>
      </c>
      <c r="O502" s="4" t="s">
        <v>129</v>
      </c>
      <c r="P502" s="4" t="s">
        <v>428</v>
      </c>
      <c r="Q502" s="3" t="s">
        <v>32</v>
      </c>
      <c r="R502" s="3" t="s">
        <v>33</v>
      </c>
      <c r="S502" s="4"/>
    </row>
    <row r="503" spans="1:19" ht="17.45">
      <c r="A503" s="3">
        <f>SUBTOTAL(103,$B$4:B503)</f>
        <v>500</v>
      </c>
      <c r="B503" s="8">
        <v>558204</v>
      </c>
      <c r="C503" s="5" t="s">
        <v>1235</v>
      </c>
      <c r="D503" s="4" t="s">
        <v>48</v>
      </c>
      <c r="E503" s="4" t="s">
        <v>1231</v>
      </c>
      <c r="F503" s="30">
        <v>45943</v>
      </c>
      <c r="G503" s="19" t="s">
        <v>26</v>
      </c>
      <c r="H503" s="19" t="str">
        <f t="shared" ca="1" si="7"/>
        <v>0 Years, 7 Months, 21 Days</v>
      </c>
      <c r="I503" s="4" t="s">
        <v>1236</v>
      </c>
      <c r="J503" s="4" t="s">
        <v>28</v>
      </c>
      <c r="K503" s="6">
        <v>1610903040</v>
      </c>
      <c r="L503" s="6" t="s">
        <v>42</v>
      </c>
      <c r="M503" s="9">
        <v>549569</v>
      </c>
      <c r="N503" s="4" t="s">
        <v>427</v>
      </c>
      <c r="O503" s="4" t="s">
        <v>129</v>
      </c>
      <c r="P503" s="4" t="s">
        <v>428</v>
      </c>
      <c r="Q503" s="3" t="s">
        <v>32</v>
      </c>
      <c r="R503" s="3" t="s">
        <v>33</v>
      </c>
      <c r="S503" s="4"/>
    </row>
    <row r="504" spans="1:19" ht="17.45">
      <c r="A504" s="3">
        <f>SUBTOTAL(103,$B$4:B504)</f>
        <v>501</v>
      </c>
      <c r="B504" s="8">
        <v>563546</v>
      </c>
      <c r="C504" s="5" t="s">
        <v>1237</v>
      </c>
      <c r="D504" s="4" t="s">
        <v>35</v>
      </c>
      <c r="E504" s="4" t="s">
        <v>1231</v>
      </c>
      <c r="F504" s="30">
        <v>46113</v>
      </c>
      <c r="G504" s="19" t="s">
        <v>26</v>
      </c>
      <c r="H504" s="19" t="str">
        <f t="shared" ca="1" si="7"/>
        <v>0 Years, 2 Months, 2 Days</v>
      </c>
      <c r="I504" s="4" t="s">
        <v>1238</v>
      </c>
      <c r="J504" s="4" t="s">
        <v>28</v>
      </c>
      <c r="K504" s="6" t="s">
        <v>1239</v>
      </c>
      <c r="L504" s="6"/>
      <c r="M504" s="9">
        <v>549569</v>
      </c>
      <c r="N504" s="4" t="s">
        <v>427</v>
      </c>
      <c r="O504" s="4" t="s">
        <v>129</v>
      </c>
      <c r="P504" s="4" t="s">
        <v>428</v>
      </c>
      <c r="Q504" s="3" t="s">
        <v>32</v>
      </c>
      <c r="R504" s="3" t="s">
        <v>33</v>
      </c>
      <c r="S504" s="4"/>
    </row>
    <row r="505" spans="1:19" ht="17.45">
      <c r="A505" s="3">
        <f>SUBTOTAL(103,$B$4:B505)</f>
        <v>502</v>
      </c>
      <c r="B505" s="8">
        <v>530518</v>
      </c>
      <c r="C505" s="5" t="s">
        <v>1240</v>
      </c>
      <c r="D505" s="4" t="s">
        <v>38</v>
      </c>
      <c r="E505" s="4" t="s">
        <v>1241</v>
      </c>
      <c r="F505" s="30">
        <v>44790</v>
      </c>
      <c r="G505" s="19" t="s">
        <v>26</v>
      </c>
      <c r="H505" s="19" t="str">
        <f t="shared" ca="1" si="7"/>
        <v>3 Years, 9 Months, 17 Days</v>
      </c>
      <c r="I505" s="4" t="s">
        <v>1242</v>
      </c>
      <c r="J505" s="4" t="s">
        <v>28</v>
      </c>
      <c r="K505" s="6">
        <v>1949076675</v>
      </c>
      <c r="L505" s="6" t="s">
        <v>42</v>
      </c>
      <c r="M505" s="9">
        <v>1013</v>
      </c>
      <c r="N505" s="4" t="s">
        <v>569</v>
      </c>
      <c r="O505" s="4" t="s">
        <v>129</v>
      </c>
      <c r="P505" s="4" t="s">
        <v>1243</v>
      </c>
      <c r="Q505" s="3" t="s">
        <v>32</v>
      </c>
      <c r="R505" s="3" t="s">
        <v>33</v>
      </c>
      <c r="S505" s="4"/>
    </row>
    <row r="506" spans="1:19" ht="17.45">
      <c r="A506" s="3">
        <f>SUBTOTAL(103,$B$4:B506)</f>
        <v>503</v>
      </c>
      <c r="B506" s="8">
        <v>530519</v>
      </c>
      <c r="C506" s="5" t="s">
        <v>1244</v>
      </c>
      <c r="D506" s="4" t="s">
        <v>38</v>
      </c>
      <c r="E506" s="4" t="s">
        <v>1241</v>
      </c>
      <c r="F506" s="30">
        <v>44790</v>
      </c>
      <c r="G506" s="19" t="s">
        <v>26</v>
      </c>
      <c r="H506" s="19" t="str">
        <f t="shared" ca="1" si="7"/>
        <v>3 Years, 9 Months, 17 Days</v>
      </c>
      <c r="I506" s="4" t="s">
        <v>1245</v>
      </c>
      <c r="J506" s="4" t="s">
        <v>28</v>
      </c>
      <c r="K506" s="6">
        <v>1763940349</v>
      </c>
      <c r="L506" s="6" t="s">
        <v>42</v>
      </c>
      <c r="M506" s="9">
        <v>1013</v>
      </c>
      <c r="N506" s="4" t="s">
        <v>569</v>
      </c>
      <c r="O506" s="4" t="s">
        <v>129</v>
      </c>
      <c r="P506" s="4" t="s">
        <v>1243</v>
      </c>
      <c r="Q506" s="3" t="s">
        <v>32</v>
      </c>
      <c r="R506" s="3" t="s">
        <v>33</v>
      </c>
      <c r="S506" s="4"/>
    </row>
    <row r="507" spans="1:19" ht="17.45">
      <c r="A507" s="3">
        <f>SUBTOTAL(103,$B$4:B507)</f>
        <v>504</v>
      </c>
      <c r="B507" s="8">
        <v>1013</v>
      </c>
      <c r="C507" s="5" t="s">
        <v>569</v>
      </c>
      <c r="D507" s="4" t="s">
        <v>129</v>
      </c>
      <c r="E507" s="4" t="s">
        <v>1241</v>
      </c>
      <c r="F507" s="30">
        <v>39093</v>
      </c>
      <c r="G507" s="19" t="s">
        <v>26</v>
      </c>
      <c r="H507" s="19" t="str">
        <f t="shared" ca="1" si="7"/>
        <v>19 Years, 4 Months, 23 Days</v>
      </c>
      <c r="I507" s="4" t="s">
        <v>1243</v>
      </c>
      <c r="J507" s="4" t="e">
        <v>#N/A</v>
      </c>
      <c r="K507" s="6">
        <v>1755516214</v>
      </c>
      <c r="L507" s="6">
        <v>1755516214</v>
      </c>
      <c r="M507" s="14">
        <v>540363</v>
      </c>
      <c r="N507" s="18" t="s">
        <v>210</v>
      </c>
      <c r="O507" s="4" t="str">
        <f>VLOOKUP(Table1[[#This Row],[Supervisors'' Enroll]],[1]EmployeeMonthLyStatus!$B$2:$G$2474,6,FALSE)</f>
        <v>Chief Executive Officer</v>
      </c>
      <c r="P507" s="18" t="s">
        <v>212</v>
      </c>
      <c r="Q507" s="3" t="s">
        <v>123</v>
      </c>
      <c r="R507" s="3" t="s">
        <v>124</v>
      </c>
      <c r="S507" s="4" t="s">
        <v>1246</v>
      </c>
    </row>
    <row r="508" spans="1:19" ht="17.45">
      <c r="A508" s="3">
        <f>SUBTOTAL(103,$B$4:B508)</f>
        <v>505</v>
      </c>
      <c r="B508" s="8">
        <v>513215</v>
      </c>
      <c r="C508" s="5" t="s">
        <v>771</v>
      </c>
      <c r="D508" s="4" t="s">
        <v>35</v>
      </c>
      <c r="E508" s="4" t="s">
        <v>1247</v>
      </c>
      <c r="F508" s="30">
        <v>44243</v>
      </c>
      <c r="G508" s="19" t="s">
        <v>190</v>
      </c>
      <c r="H508" s="19" t="str">
        <f t="shared" ca="1" si="7"/>
        <v>5 Years, 3 Months, 18 Days</v>
      </c>
      <c r="I508" s="4" t="s">
        <v>1248</v>
      </c>
      <c r="J508" s="4" t="s">
        <v>28</v>
      </c>
      <c r="K508" s="6">
        <v>1729590674</v>
      </c>
      <c r="L508" s="6">
        <v>1755516529</v>
      </c>
      <c r="M508" s="9">
        <v>529347</v>
      </c>
      <c r="N508" s="4" t="s">
        <v>1249</v>
      </c>
      <c r="O508" s="4" t="s">
        <v>61</v>
      </c>
      <c r="P508" s="4" t="s">
        <v>1250</v>
      </c>
      <c r="Q508" s="3" t="s">
        <v>32</v>
      </c>
      <c r="R508" s="3" t="s">
        <v>33</v>
      </c>
      <c r="S508" s="4"/>
    </row>
    <row r="509" spans="1:19" ht="17.45">
      <c r="A509" s="3">
        <f>SUBTOTAL(103,$B$4:B509)</f>
        <v>506</v>
      </c>
      <c r="B509" s="8">
        <v>513217</v>
      </c>
      <c r="C509" s="5" t="s">
        <v>1251</v>
      </c>
      <c r="D509" s="4" t="s">
        <v>35</v>
      </c>
      <c r="E509" s="4" t="s">
        <v>1247</v>
      </c>
      <c r="F509" s="30">
        <v>44243</v>
      </c>
      <c r="G509" s="19" t="s">
        <v>190</v>
      </c>
      <c r="H509" s="19" t="str">
        <f t="shared" ca="1" si="7"/>
        <v>5 Years, 3 Months, 18 Days</v>
      </c>
      <c r="I509" s="4" t="s">
        <v>1252</v>
      </c>
      <c r="J509" s="4" t="s">
        <v>28</v>
      </c>
      <c r="K509" s="6">
        <v>1676540881</v>
      </c>
      <c r="L509" s="6">
        <v>1755516526</v>
      </c>
      <c r="M509" s="9">
        <v>529347</v>
      </c>
      <c r="N509" s="4" t="s">
        <v>1249</v>
      </c>
      <c r="O509" s="4" t="s">
        <v>61</v>
      </c>
      <c r="P509" s="4" t="s">
        <v>1250</v>
      </c>
      <c r="Q509" s="3" t="s">
        <v>32</v>
      </c>
      <c r="R509" s="3" t="s">
        <v>33</v>
      </c>
      <c r="S509" s="4"/>
    </row>
    <row r="510" spans="1:19" ht="17.45">
      <c r="A510" s="3">
        <f>SUBTOTAL(103,$B$4:B510)</f>
        <v>507</v>
      </c>
      <c r="B510" s="8">
        <v>530522</v>
      </c>
      <c r="C510" s="5" t="s">
        <v>1253</v>
      </c>
      <c r="D510" s="4" t="s">
        <v>48</v>
      </c>
      <c r="E510" s="4" t="s">
        <v>1247</v>
      </c>
      <c r="F510" s="30">
        <v>44790</v>
      </c>
      <c r="G510" s="19" t="s">
        <v>190</v>
      </c>
      <c r="H510" s="19" t="str">
        <f t="shared" ca="1" si="7"/>
        <v>3 Years, 9 Months, 17 Days</v>
      </c>
      <c r="I510" s="4" t="s">
        <v>1254</v>
      </c>
      <c r="J510" s="4" t="s">
        <v>28</v>
      </c>
      <c r="K510" s="6">
        <v>1672909550</v>
      </c>
      <c r="L510" s="6">
        <v>1324762702</v>
      </c>
      <c r="M510" s="9">
        <v>529347</v>
      </c>
      <c r="N510" s="4" t="s">
        <v>1249</v>
      </c>
      <c r="O510" s="4" t="s">
        <v>61</v>
      </c>
      <c r="P510" s="4" t="s">
        <v>1250</v>
      </c>
      <c r="Q510" s="3" t="s">
        <v>32</v>
      </c>
      <c r="R510" s="3" t="s">
        <v>33</v>
      </c>
      <c r="S510" s="4"/>
    </row>
    <row r="511" spans="1:19" ht="17.45">
      <c r="A511" s="3">
        <f>SUBTOTAL(103,$B$4:B511)</f>
        <v>508</v>
      </c>
      <c r="B511" s="8">
        <v>538288</v>
      </c>
      <c r="C511" s="5" t="s">
        <v>1255</v>
      </c>
      <c r="D511" s="4" t="s">
        <v>48</v>
      </c>
      <c r="E511" s="4" t="s">
        <v>1247</v>
      </c>
      <c r="F511" s="30">
        <v>45146</v>
      </c>
      <c r="G511" s="19" t="s">
        <v>190</v>
      </c>
      <c r="H511" s="19" t="str">
        <f t="shared" ca="1" si="7"/>
        <v>2 Years, 9 Months, 26 Days</v>
      </c>
      <c r="I511" s="4" t="s">
        <v>1256</v>
      </c>
      <c r="J511" s="4" t="s">
        <v>28</v>
      </c>
      <c r="K511" s="6">
        <v>1737246717</v>
      </c>
      <c r="L511" s="6">
        <v>1324762594</v>
      </c>
      <c r="M511" s="9">
        <v>529347</v>
      </c>
      <c r="N511" s="4" t="s">
        <v>1249</v>
      </c>
      <c r="O511" s="4" t="s">
        <v>61</v>
      </c>
      <c r="P511" s="4" t="s">
        <v>1250</v>
      </c>
      <c r="Q511" s="3" t="s">
        <v>32</v>
      </c>
      <c r="R511" s="3" t="s">
        <v>33</v>
      </c>
      <c r="S511" s="4"/>
    </row>
    <row r="512" spans="1:19" ht="17.45">
      <c r="A512" s="3">
        <f>SUBTOTAL(103,$B$4:B512)</f>
        <v>509</v>
      </c>
      <c r="B512" s="8">
        <v>538289</v>
      </c>
      <c r="C512" s="5" t="s">
        <v>1257</v>
      </c>
      <c r="D512" s="4" t="s">
        <v>48</v>
      </c>
      <c r="E512" s="4" t="s">
        <v>1247</v>
      </c>
      <c r="F512" s="30">
        <v>45146</v>
      </c>
      <c r="G512" s="19" t="s">
        <v>190</v>
      </c>
      <c r="H512" s="19" t="str">
        <f t="shared" ca="1" si="7"/>
        <v>2 Years, 9 Months, 26 Days</v>
      </c>
      <c r="I512" s="4" t="s">
        <v>1258</v>
      </c>
      <c r="J512" s="4" t="s">
        <v>28</v>
      </c>
      <c r="K512" s="6">
        <v>1324762595</v>
      </c>
      <c r="L512" s="6">
        <v>1324762595</v>
      </c>
      <c r="M512" s="9">
        <v>529347</v>
      </c>
      <c r="N512" s="4" t="s">
        <v>1249</v>
      </c>
      <c r="O512" s="4" t="s">
        <v>61</v>
      </c>
      <c r="P512" s="4" t="s">
        <v>1250</v>
      </c>
      <c r="Q512" s="3" t="s">
        <v>32</v>
      </c>
      <c r="R512" s="3" t="s">
        <v>33</v>
      </c>
      <c r="S512" s="4"/>
    </row>
    <row r="513" spans="1:19" ht="17.45">
      <c r="A513" s="3">
        <f>SUBTOTAL(103,$B$4:B513)</f>
        <v>510</v>
      </c>
      <c r="B513" s="8">
        <v>538500</v>
      </c>
      <c r="C513" s="5" t="s">
        <v>1259</v>
      </c>
      <c r="D513" s="4" t="s">
        <v>38</v>
      </c>
      <c r="E513" s="4" t="s">
        <v>1247</v>
      </c>
      <c r="F513" s="30">
        <v>45158</v>
      </c>
      <c r="G513" s="19" t="s">
        <v>190</v>
      </c>
      <c r="H513" s="19" t="str">
        <f t="shared" ca="1" si="7"/>
        <v>2 Years, 9 Months, 14 Days</v>
      </c>
      <c r="I513" s="4" t="s">
        <v>1260</v>
      </c>
      <c r="J513" s="4" t="s">
        <v>28</v>
      </c>
      <c r="K513" s="6">
        <v>1324762549</v>
      </c>
      <c r="L513" s="6">
        <v>1324762549</v>
      </c>
      <c r="M513" s="9">
        <v>529347</v>
      </c>
      <c r="N513" s="4" t="s">
        <v>1249</v>
      </c>
      <c r="O513" s="4" t="s">
        <v>61</v>
      </c>
      <c r="P513" s="4" t="s">
        <v>1250</v>
      </c>
      <c r="Q513" s="3" t="s">
        <v>32</v>
      </c>
      <c r="R513" s="3" t="s">
        <v>33</v>
      </c>
      <c r="S513" s="4"/>
    </row>
    <row r="514" spans="1:19" ht="17.45">
      <c r="A514" s="3">
        <f>SUBTOTAL(103,$B$4:B514)</f>
        <v>511</v>
      </c>
      <c r="B514" s="8">
        <v>543882</v>
      </c>
      <c r="C514" s="5" t="s">
        <v>1261</v>
      </c>
      <c r="D514" s="4" t="s">
        <v>48</v>
      </c>
      <c r="E514" s="4" t="s">
        <v>1247</v>
      </c>
      <c r="F514" s="30">
        <v>45467</v>
      </c>
      <c r="G514" s="19" t="s">
        <v>190</v>
      </c>
      <c r="H514" s="19" t="str">
        <f t="shared" ca="1" si="7"/>
        <v>1 Years, 11 Months, 10 Days</v>
      </c>
      <c r="I514" s="4" t="s">
        <v>1262</v>
      </c>
      <c r="J514" s="4" t="s">
        <v>28</v>
      </c>
      <c r="K514" s="6">
        <v>1334762360</v>
      </c>
      <c r="L514" s="6" t="s">
        <v>42</v>
      </c>
      <c r="M514" s="9">
        <v>529347</v>
      </c>
      <c r="N514" s="4" t="s">
        <v>1249</v>
      </c>
      <c r="O514" s="4" t="s">
        <v>61</v>
      </c>
      <c r="P514" s="4" t="s">
        <v>1250</v>
      </c>
      <c r="Q514" s="3" t="s">
        <v>32</v>
      </c>
      <c r="R514" s="3" t="s">
        <v>33</v>
      </c>
      <c r="S514" s="4"/>
    </row>
    <row r="515" spans="1:19" ht="17.45">
      <c r="A515" s="3">
        <f>SUBTOTAL(103,$B$4:B515)</f>
        <v>512</v>
      </c>
      <c r="B515" s="8">
        <v>548452</v>
      </c>
      <c r="C515" s="5" t="s">
        <v>1263</v>
      </c>
      <c r="D515" s="4" t="s">
        <v>38</v>
      </c>
      <c r="E515" s="4" t="s">
        <v>1247</v>
      </c>
      <c r="F515" s="30">
        <v>45610</v>
      </c>
      <c r="G515" s="19" t="s">
        <v>26</v>
      </c>
      <c r="H515" s="19" t="str">
        <f t="shared" ca="1" si="7"/>
        <v>1 Years, 6 Months, 20 Days</v>
      </c>
      <c r="I515" s="4" t="s">
        <v>1264</v>
      </c>
      <c r="J515" s="4" t="s">
        <v>28</v>
      </c>
      <c r="K515" s="6">
        <v>1750828869</v>
      </c>
      <c r="L515" s="6" t="s">
        <v>42</v>
      </c>
      <c r="M515" s="9">
        <v>529347</v>
      </c>
      <c r="N515" s="4" t="s">
        <v>1249</v>
      </c>
      <c r="O515" s="4" t="s">
        <v>61</v>
      </c>
      <c r="P515" s="4" t="s">
        <v>1250</v>
      </c>
      <c r="Q515" s="3" t="s">
        <v>32</v>
      </c>
      <c r="R515" s="3" t="s">
        <v>33</v>
      </c>
      <c r="S515" s="4"/>
    </row>
    <row r="516" spans="1:19" ht="17.45">
      <c r="A516" s="3">
        <f>SUBTOTAL(103,$B$4:B516)</f>
        <v>513</v>
      </c>
      <c r="B516" s="8">
        <v>560010</v>
      </c>
      <c r="C516" s="5" t="s">
        <v>1265</v>
      </c>
      <c r="D516" s="4" t="s">
        <v>24</v>
      </c>
      <c r="E516" s="4" t="s">
        <v>1247</v>
      </c>
      <c r="F516" s="30">
        <v>45994</v>
      </c>
      <c r="G516" s="19" t="s">
        <v>538</v>
      </c>
      <c r="H516" s="19" t="str">
        <f t="shared" ca="1" si="7"/>
        <v>0 Years, 6 Months, 0 Days</v>
      </c>
      <c r="I516" s="4" t="s">
        <v>1266</v>
      </c>
      <c r="J516" s="4" t="s">
        <v>158</v>
      </c>
      <c r="K516" s="6">
        <v>1717131346</v>
      </c>
      <c r="L516" s="6" t="s">
        <v>42</v>
      </c>
      <c r="M516" s="9">
        <v>529668</v>
      </c>
      <c r="N516" s="4" t="s">
        <v>228</v>
      </c>
      <c r="O516" s="4" t="s">
        <v>211</v>
      </c>
      <c r="P516" s="4" t="s">
        <v>229</v>
      </c>
      <c r="Q516" s="3" t="s">
        <v>32</v>
      </c>
      <c r="R516" s="3" t="s">
        <v>33</v>
      </c>
      <c r="S516" s="4"/>
    </row>
    <row r="517" spans="1:19" ht="17.45">
      <c r="A517" s="3">
        <f>SUBTOTAL(103,$B$4:B517)</f>
        <v>514</v>
      </c>
      <c r="B517" s="8">
        <v>529347</v>
      </c>
      <c r="C517" s="5" t="s">
        <v>1249</v>
      </c>
      <c r="D517" s="4" t="s">
        <v>61</v>
      </c>
      <c r="E517" s="4" t="s">
        <v>1247</v>
      </c>
      <c r="F517" s="30">
        <v>44713</v>
      </c>
      <c r="G517" s="19" t="s">
        <v>26</v>
      </c>
      <c r="H517" s="19" t="str">
        <f t="shared" ref="H517:H580" ca="1" si="8">DATEDIF(F517,TODAY(),"Y") &amp; " Years, " &amp; DATEDIF(F517,TODAY(),"YM") &amp; " Months, " &amp; DATEDIF(F517,TODAY(),"MD") &amp; " Days"</f>
        <v>4 Years, 0 Months, 2 Days</v>
      </c>
      <c r="I517" s="4" t="s">
        <v>1267</v>
      </c>
      <c r="J517" s="4" t="s">
        <v>28</v>
      </c>
      <c r="K517" s="6">
        <v>1818930594</v>
      </c>
      <c r="L517" s="6">
        <v>1324762720</v>
      </c>
      <c r="M517" s="9">
        <v>540363</v>
      </c>
      <c r="N517" s="4" t="s">
        <v>210</v>
      </c>
      <c r="O517" s="4" t="s">
        <v>211</v>
      </c>
      <c r="P517" s="4" t="s">
        <v>212</v>
      </c>
      <c r="Q517" s="3" t="s">
        <v>32</v>
      </c>
      <c r="R517" s="3" t="s">
        <v>124</v>
      </c>
      <c r="S517" s="4" t="s">
        <v>1268</v>
      </c>
    </row>
    <row r="518" spans="1:19" ht="17.45">
      <c r="A518" s="3">
        <f>SUBTOTAL(103,$B$4:B518)</f>
        <v>515</v>
      </c>
      <c r="B518" s="8">
        <v>556155</v>
      </c>
      <c r="C518" s="5" t="s">
        <v>1269</v>
      </c>
      <c r="D518" s="4" t="s">
        <v>1270</v>
      </c>
      <c r="E518" s="4" t="s">
        <v>1271</v>
      </c>
      <c r="F518" s="30">
        <v>45896</v>
      </c>
      <c r="G518" s="19" t="s">
        <v>1272</v>
      </c>
      <c r="H518" s="19" t="str">
        <f t="shared" ca="1" si="8"/>
        <v>0 Years, 9 Months, 7 Days</v>
      </c>
      <c r="I518" s="4" t="s">
        <v>1273</v>
      </c>
      <c r="J518" s="4" t="s">
        <v>241</v>
      </c>
      <c r="K518" s="6">
        <v>1713062875</v>
      </c>
      <c r="L518" s="6">
        <v>1334915822</v>
      </c>
      <c r="M518" s="9">
        <v>1592</v>
      </c>
      <c r="N518" s="4" t="s">
        <v>242</v>
      </c>
      <c r="O518" s="4" t="s">
        <v>106</v>
      </c>
      <c r="P518" s="4" t="s">
        <v>243</v>
      </c>
      <c r="Q518" s="3" t="s">
        <v>32</v>
      </c>
      <c r="R518" s="3" t="s">
        <v>124</v>
      </c>
      <c r="S518" s="4" t="s">
        <v>1274</v>
      </c>
    </row>
    <row r="519" spans="1:19" ht="17.45">
      <c r="A519" s="3">
        <f>SUBTOTAL(103,$B$4:B519)</f>
        <v>516</v>
      </c>
      <c r="B519" s="8">
        <v>536476</v>
      </c>
      <c r="C519" s="5" t="s">
        <v>1275</v>
      </c>
      <c r="D519" s="4" t="s">
        <v>250</v>
      </c>
      <c r="E519" s="4" t="s">
        <v>1271</v>
      </c>
      <c r="F519" s="30">
        <v>45019</v>
      </c>
      <c r="G519" s="19" t="s">
        <v>156</v>
      </c>
      <c r="H519" s="19" t="str">
        <f t="shared" ca="1" si="8"/>
        <v>3 Years, 2 Months, 0 Days</v>
      </c>
      <c r="I519" s="4" t="s">
        <v>1276</v>
      </c>
      <c r="J519" s="4" t="s">
        <v>158</v>
      </c>
      <c r="K519" s="6">
        <v>1307909298</v>
      </c>
      <c r="L519" s="6">
        <v>1324762475</v>
      </c>
      <c r="M519" s="9">
        <v>529668</v>
      </c>
      <c r="N519" s="4" t="s">
        <v>228</v>
      </c>
      <c r="O519" s="4" t="s">
        <v>211</v>
      </c>
      <c r="P519" s="4" t="s">
        <v>229</v>
      </c>
      <c r="Q519" s="3" t="s">
        <v>32</v>
      </c>
      <c r="R519" s="3" t="s">
        <v>124</v>
      </c>
      <c r="S519" s="4" t="s">
        <v>1277</v>
      </c>
    </row>
    <row r="520" spans="1:19" ht="17.45">
      <c r="A520" s="3">
        <f>SUBTOTAL(103,$B$4:B520)</f>
        <v>517</v>
      </c>
      <c r="B520" s="8">
        <v>552080</v>
      </c>
      <c r="C520" s="5" t="s">
        <v>1278</v>
      </c>
      <c r="D520" s="4" t="s">
        <v>38</v>
      </c>
      <c r="E520" s="4" t="s">
        <v>1271</v>
      </c>
      <c r="F520" s="30">
        <v>45756</v>
      </c>
      <c r="G520" s="19" t="s">
        <v>471</v>
      </c>
      <c r="H520" s="19" t="str">
        <f t="shared" ca="1" si="8"/>
        <v>1 Years, 1 Months, 25 Days</v>
      </c>
      <c r="I520" s="4" t="s">
        <v>1279</v>
      </c>
      <c r="J520" s="4" t="s">
        <v>473</v>
      </c>
      <c r="K520" s="6" t="s">
        <v>1280</v>
      </c>
      <c r="L520" s="6"/>
      <c r="M520" s="9">
        <v>541175</v>
      </c>
      <c r="N520" s="4" t="s">
        <v>583</v>
      </c>
      <c r="O520" s="4" t="s">
        <v>61</v>
      </c>
      <c r="P520" s="4" t="s">
        <v>584</v>
      </c>
      <c r="Q520" s="3" t="s">
        <v>32</v>
      </c>
      <c r="R520" s="3" t="s">
        <v>33</v>
      </c>
      <c r="S520" s="4"/>
    </row>
    <row r="521" spans="1:19" ht="17.45">
      <c r="A521" s="3">
        <f>SUBTOTAL(103,$B$4:B521)</f>
        <v>518</v>
      </c>
      <c r="B521" s="8">
        <v>554046</v>
      </c>
      <c r="C521" s="5" t="s">
        <v>1281</v>
      </c>
      <c r="D521" s="4" t="s">
        <v>38</v>
      </c>
      <c r="E521" s="4" t="s">
        <v>1271</v>
      </c>
      <c r="F521" s="30">
        <v>45825</v>
      </c>
      <c r="G521" s="19" t="s">
        <v>471</v>
      </c>
      <c r="H521" s="19" t="str">
        <f t="shared" ca="1" si="8"/>
        <v>0 Years, 11 Months, 17 Days</v>
      </c>
      <c r="I521" s="4" t="s">
        <v>199</v>
      </c>
      <c r="J521" s="4" t="s">
        <v>473</v>
      </c>
      <c r="K521" s="6" t="s">
        <v>1282</v>
      </c>
      <c r="L521" s="6"/>
      <c r="M521" s="9">
        <v>541175</v>
      </c>
      <c r="N521" s="4" t="s">
        <v>583</v>
      </c>
      <c r="O521" s="4" t="s">
        <v>61</v>
      </c>
      <c r="P521" s="4" t="s">
        <v>584</v>
      </c>
      <c r="Q521" s="3" t="s">
        <v>32</v>
      </c>
      <c r="R521" s="3" t="s">
        <v>33</v>
      </c>
      <c r="S521" s="4"/>
    </row>
    <row r="522" spans="1:19" ht="17.45">
      <c r="A522" s="3">
        <f>SUBTOTAL(103,$B$4:B522)</f>
        <v>519</v>
      </c>
      <c r="B522" s="8">
        <v>541020</v>
      </c>
      <c r="C522" s="5" t="s">
        <v>1283</v>
      </c>
      <c r="D522" s="4" t="s">
        <v>1284</v>
      </c>
      <c r="E522" s="4" t="s">
        <v>1271</v>
      </c>
      <c r="F522" s="30">
        <v>45312</v>
      </c>
      <c r="G522" s="19" t="s">
        <v>648</v>
      </c>
      <c r="H522" s="19" t="str">
        <f t="shared" ca="1" si="8"/>
        <v>2 Years, 4 Months, 13 Days</v>
      </c>
      <c r="I522" s="4" t="s">
        <v>1285</v>
      </c>
      <c r="J522" s="4" t="s">
        <v>146</v>
      </c>
      <c r="K522" s="6">
        <v>1711119095</v>
      </c>
      <c r="L522" s="6">
        <v>1329645892</v>
      </c>
      <c r="M522" s="9">
        <v>155237</v>
      </c>
      <c r="N522" s="4" t="s">
        <v>1286</v>
      </c>
      <c r="O522" s="4" t="str">
        <f>VLOOKUP(Table1[[#This Row],[Supervisors'' Enroll]],[1]EmployeeMonthLyStatus!$B$2:$G$2474,6,FALSE)</f>
        <v>Assistant General Manager</v>
      </c>
      <c r="P522" s="18" t="s">
        <v>1287</v>
      </c>
      <c r="Q522" s="3" t="s">
        <v>32</v>
      </c>
      <c r="R522" s="3" t="s">
        <v>124</v>
      </c>
      <c r="S522" s="4" t="s">
        <v>1288</v>
      </c>
    </row>
    <row r="523" spans="1:19" ht="17.45">
      <c r="A523" s="3">
        <f>SUBTOTAL(103,$B$4:B523)</f>
        <v>520</v>
      </c>
      <c r="B523" s="8">
        <v>480082</v>
      </c>
      <c r="C523" s="5" t="s">
        <v>1289</v>
      </c>
      <c r="D523" s="4" t="s">
        <v>1270</v>
      </c>
      <c r="E523" s="4" t="s">
        <v>1290</v>
      </c>
      <c r="F523" s="30">
        <v>43953</v>
      </c>
      <c r="G523" s="19" t="s">
        <v>1291</v>
      </c>
      <c r="H523" s="19" t="str">
        <f t="shared" ca="1" si="8"/>
        <v>6 Years, 1 Months, 1 Days</v>
      </c>
      <c r="I523" s="4" t="s">
        <v>1292</v>
      </c>
      <c r="J523" s="4" t="s">
        <v>58</v>
      </c>
      <c r="K523" s="6">
        <v>1755516460</v>
      </c>
      <c r="L523" s="6">
        <v>1755516460</v>
      </c>
      <c r="M523" s="9">
        <v>1356</v>
      </c>
      <c r="N523" s="4" t="s">
        <v>233</v>
      </c>
      <c r="O523" s="4" t="s">
        <v>106</v>
      </c>
      <c r="P523" s="4" t="s">
        <v>234</v>
      </c>
      <c r="Q523" s="3" t="s">
        <v>32</v>
      </c>
      <c r="R523" s="3" t="s">
        <v>124</v>
      </c>
      <c r="S523" s="4" t="s">
        <v>1293</v>
      </c>
    </row>
    <row r="524" spans="1:19" ht="17.45">
      <c r="A524" s="3">
        <f>SUBTOTAL(103,$B$4:B524)</f>
        <v>521</v>
      </c>
      <c r="B524" s="8">
        <v>556024</v>
      </c>
      <c r="C524" s="5" t="s">
        <v>1294</v>
      </c>
      <c r="D524" s="4" t="s">
        <v>106</v>
      </c>
      <c r="E524" s="4" t="s">
        <v>1290</v>
      </c>
      <c r="F524" s="30">
        <v>45890</v>
      </c>
      <c r="G524" s="19" t="s">
        <v>152</v>
      </c>
      <c r="H524" s="19" t="str">
        <f t="shared" ca="1" si="8"/>
        <v>0 Years, 9 Months, 13 Days</v>
      </c>
      <c r="I524" s="4" t="s">
        <v>1295</v>
      </c>
      <c r="J524" s="4" t="s">
        <v>154</v>
      </c>
      <c r="K524" s="6">
        <v>1713061478</v>
      </c>
      <c r="L524" s="6" t="s">
        <v>42</v>
      </c>
      <c r="M524" s="9">
        <v>111295</v>
      </c>
      <c r="N524" s="4" t="s">
        <v>463</v>
      </c>
      <c r="O524" s="4" t="s">
        <v>129</v>
      </c>
      <c r="P524" s="4" t="s">
        <v>465</v>
      </c>
      <c r="Q524" s="3" t="s">
        <v>123</v>
      </c>
      <c r="R524" s="3" t="s">
        <v>124</v>
      </c>
      <c r="S524" s="4" t="s">
        <v>1296</v>
      </c>
    </row>
    <row r="525" spans="1:19" ht="17.45">
      <c r="A525" s="3">
        <f>SUBTOTAL(103,$B$4:B525)</f>
        <v>522</v>
      </c>
      <c r="B525" s="8">
        <v>548765</v>
      </c>
      <c r="C525" s="5" t="s">
        <v>1297</v>
      </c>
      <c r="D525" s="4" t="s">
        <v>48</v>
      </c>
      <c r="E525" s="4" t="s">
        <v>1290</v>
      </c>
      <c r="F525" s="30">
        <v>45627</v>
      </c>
      <c r="G525" s="19" t="s">
        <v>471</v>
      </c>
      <c r="H525" s="19" t="str">
        <f t="shared" ca="1" si="8"/>
        <v>1 Years, 6 Months, 2 Days</v>
      </c>
      <c r="I525" s="4" t="s">
        <v>1298</v>
      </c>
      <c r="J525" s="4" t="s">
        <v>473</v>
      </c>
      <c r="K525" s="6">
        <v>1998297047</v>
      </c>
      <c r="L525" s="6" t="s">
        <v>42</v>
      </c>
      <c r="M525" s="9">
        <v>122066</v>
      </c>
      <c r="N525" s="4" t="s">
        <v>572</v>
      </c>
      <c r="O525" s="4" t="s">
        <v>61</v>
      </c>
      <c r="P525" s="4" t="s">
        <v>573</v>
      </c>
      <c r="Q525" s="3" t="s">
        <v>32</v>
      </c>
      <c r="R525" s="3" t="s">
        <v>33</v>
      </c>
      <c r="S525" s="4"/>
    </row>
    <row r="526" spans="1:19" ht="17.45">
      <c r="A526" s="3">
        <f>SUBTOTAL(103,$B$4:B526)</f>
        <v>523</v>
      </c>
      <c r="B526" s="8">
        <v>176500</v>
      </c>
      <c r="C526" s="5" t="s">
        <v>1299</v>
      </c>
      <c r="D526" s="4" t="s">
        <v>1284</v>
      </c>
      <c r="E526" s="4" t="s">
        <v>1290</v>
      </c>
      <c r="F526" s="30">
        <v>42064</v>
      </c>
      <c r="G526" s="19" t="s">
        <v>648</v>
      </c>
      <c r="H526" s="19" t="str">
        <f t="shared" ca="1" si="8"/>
        <v>11 Years, 3 Months, 2 Days</v>
      </c>
      <c r="I526" s="4" t="s">
        <v>1300</v>
      </c>
      <c r="J526" s="4" t="s">
        <v>28</v>
      </c>
      <c r="K526" s="6"/>
      <c r="L526" s="6"/>
      <c r="M526" s="9">
        <v>155237</v>
      </c>
      <c r="N526" s="4" t="s">
        <v>1286</v>
      </c>
      <c r="O526" s="4" t="s">
        <v>94</v>
      </c>
      <c r="P526" s="4" t="s">
        <v>1287</v>
      </c>
      <c r="Q526" s="3" t="s">
        <v>32</v>
      </c>
      <c r="R526" s="3" t="s">
        <v>124</v>
      </c>
      <c r="S526" s="4" t="s">
        <v>1301</v>
      </c>
    </row>
    <row r="527" spans="1:19" ht="17.45">
      <c r="A527" s="3">
        <f>SUBTOTAL(103,$B$4:B527)</f>
        <v>524</v>
      </c>
      <c r="B527" s="8">
        <v>542090</v>
      </c>
      <c r="C527" s="5" t="s">
        <v>1302</v>
      </c>
      <c r="D527" s="4" t="s">
        <v>1284</v>
      </c>
      <c r="E527" s="4" t="s">
        <v>1290</v>
      </c>
      <c r="F527" s="30">
        <v>45364</v>
      </c>
      <c r="G527" s="19" t="s">
        <v>648</v>
      </c>
      <c r="H527" s="19" t="str">
        <f t="shared" ca="1" si="8"/>
        <v>2 Years, 2 Months, 21 Days</v>
      </c>
      <c r="I527" s="4" t="s">
        <v>1303</v>
      </c>
      <c r="J527" s="4" t="s">
        <v>28</v>
      </c>
      <c r="K527" s="6">
        <v>1716054347</v>
      </c>
      <c r="L527" s="6" t="s">
        <v>42</v>
      </c>
      <c r="M527" s="9">
        <v>205042</v>
      </c>
      <c r="N527" s="4" t="s">
        <v>1304</v>
      </c>
      <c r="O527" s="4" t="s">
        <v>106</v>
      </c>
      <c r="P527" s="4" t="s">
        <v>1305</v>
      </c>
      <c r="Q527" s="3" t="s">
        <v>32</v>
      </c>
      <c r="R527" s="3" t="s">
        <v>124</v>
      </c>
      <c r="S527" s="4" t="s">
        <v>1306</v>
      </c>
    </row>
    <row r="528" spans="1:19" ht="17.45">
      <c r="A528" s="3">
        <f>SUBTOTAL(103,$B$4:B528)</f>
        <v>525</v>
      </c>
      <c r="B528" s="8">
        <v>178784</v>
      </c>
      <c r="C528" s="5" t="s">
        <v>1307</v>
      </c>
      <c r="D528" s="4" t="s">
        <v>1284</v>
      </c>
      <c r="E528" s="4" t="s">
        <v>1290</v>
      </c>
      <c r="F528" s="30">
        <v>42078</v>
      </c>
      <c r="G528" s="19" t="s">
        <v>648</v>
      </c>
      <c r="H528" s="19" t="str">
        <f t="shared" ca="1" si="8"/>
        <v>11 Years, 2 Months, 19 Days</v>
      </c>
      <c r="I528" s="4" t="s">
        <v>1308</v>
      </c>
      <c r="J528" s="4" t="s">
        <v>28</v>
      </c>
      <c r="K528" s="6">
        <v>1757121302</v>
      </c>
      <c r="L528" s="6">
        <v>1713020560</v>
      </c>
      <c r="M528" s="9">
        <v>517329</v>
      </c>
      <c r="N528" s="4" t="s">
        <v>299</v>
      </c>
      <c r="O528" s="4" t="s">
        <v>129</v>
      </c>
      <c r="P528" s="4" t="s">
        <v>986</v>
      </c>
      <c r="Q528" s="3" t="s">
        <v>32</v>
      </c>
      <c r="R528" s="3" t="s">
        <v>124</v>
      </c>
      <c r="S528" s="4" t="s">
        <v>1309</v>
      </c>
    </row>
    <row r="529" spans="1:19" ht="17.45">
      <c r="A529" s="3">
        <f>SUBTOTAL(103,$B$4:B529)</f>
        <v>526</v>
      </c>
      <c r="B529" s="8">
        <v>553255</v>
      </c>
      <c r="C529" s="5" t="s">
        <v>1310</v>
      </c>
      <c r="D529" s="4" t="s">
        <v>106</v>
      </c>
      <c r="E529" s="4" t="s">
        <v>1290</v>
      </c>
      <c r="F529" s="30">
        <v>45789</v>
      </c>
      <c r="G529" s="19" t="s">
        <v>156</v>
      </c>
      <c r="H529" s="19" t="str">
        <f t="shared" ca="1" si="8"/>
        <v>1 Years, 0 Months, 22 Days</v>
      </c>
      <c r="I529" s="4" t="s">
        <v>1311</v>
      </c>
      <c r="J529" s="4" t="s">
        <v>158</v>
      </c>
      <c r="K529" s="6">
        <v>1680026726</v>
      </c>
      <c r="L529" s="6" t="s">
        <v>42</v>
      </c>
      <c r="M529" s="9">
        <v>529668</v>
      </c>
      <c r="N529" s="4" t="s">
        <v>228</v>
      </c>
      <c r="O529" s="4" t="s">
        <v>211</v>
      </c>
      <c r="P529" s="4" t="s">
        <v>229</v>
      </c>
      <c r="Q529" s="3" t="s">
        <v>123</v>
      </c>
      <c r="R529" s="3" t="s">
        <v>124</v>
      </c>
      <c r="S529" s="4" t="s">
        <v>1312</v>
      </c>
    </row>
    <row r="530" spans="1:19" ht="17.45">
      <c r="A530" s="3">
        <f>SUBTOTAL(103,$B$4:B530)</f>
        <v>527</v>
      </c>
      <c r="B530" s="8">
        <v>155237</v>
      </c>
      <c r="C530" s="5" t="s">
        <v>1286</v>
      </c>
      <c r="D530" s="4" t="s">
        <v>94</v>
      </c>
      <c r="E530" s="4" t="s">
        <v>1290</v>
      </c>
      <c r="F530" s="30">
        <v>41994</v>
      </c>
      <c r="G530" s="19" t="s">
        <v>648</v>
      </c>
      <c r="H530" s="19" t="str">
        <f t="shared" ca="1" si="8"/>
        <v>11 Years, 5 Months, 13 Days</v>
      </c>
      <c r="I530" s="4" t="s">
        <v>1287</v>
      </c>
      <c r="J530" s="4" t="s">
        <v>28</v>
      </c>
      <c r="K530" s="6">
        <v>1731064296</v>
      </c>
      <c r="L530" s="6">
        <v>1755516502</v>
      </c>
      <c r="M530" s="9">
        <v>540363</v>
      </c>
      <c r="N530" s="4" t="s">
        <v>210</v>
      </c>
      <c r="O530" s="4" t="s">
        <v>211</v>
      </c>
      <c r="P530" s="4" t="s">
        <v>212</v>
      </c>
      <c r="Q530" s="3" t="s">
        <v>32</v>
      </c>
      <c r="R530" s="3" t="s">
        <v>124</v>
      </c>
      <c r="S530" s="4" t="s">
        <v>1313</v>
      </c>
    </row>
    <row r="531" spans="1:19" ht="17.45">
      <c r="A531" s="3">
        <f>SUBTOTAL(103,$B$4:B531)</f>
        <v>528</v>
      </c>
      <c r="B531" s="8">
        <v>205042</v>
      </c>
      <c r="C531" s="5" t="s">
        <v>1304</v>
      </c>
      <c r="D531" s="4" t="s">
        <v>106</v>
      </c>
      <c r="E531" s="4" t="s">
        <v>1290</v>
      </c>
      <c r="F531" s="30">
        <v>42291</v>
      </c>
      <c r="G531" s="19" t="s">
        <v>26</v>
      </c>
      <c r="H531" s="19" t="str">
        <f t="shared" ca="1" si="8"/>
        <v>10 Years, 7 Months, 20 Days</v>
      </c>
      <c r="I531" s="4" t="s">
        <v>1305</v>
      </c>
      <c r="J531" s="4" t="s">
        <v>28</v>
      </c>
      <c r="K531" s="6">
        <v>1779411940</v>
      </c>
      <c r="L531" s="6">
        <v>1755630281</v>
      </c>
      <c r="M531" s="9">
        <v>540363</v>
      </c>
      <c r="N531" s="4" t="s">
        <v>210</v>
      </c>
      <c r="O531" s="4" t="s">
        <v>211</v>
      </c>
      <c r="P531" s="4" t="s">
        <v>212</v>
      </c>
      <c r="Q531" s="3" t="s">
        <v>123</v>
      </c>
      <c r="R531" s="3" t="s">
        <v>124</v>
      </c>
      <c r="S531" s="4" t="s">
        <v>1314</v>
      </c>
    </row>
    <row r="532" spans="1:19" ht="17.45">
      <c r="A532" s="3">
        <f>SUBTOTAL(103,$B$4:B532)</f>
        <v>529</v>
      </c>
      <c r="B532" s="8">
        <v>546455</v>
      </c>
      <c r="C532" s="5" t="s">
        <v>1315</v>
      </c>
      <c r="D532" s="4" t="s">
        <v>38</v>
      </c>
      <c r="E532" s="4" t="s">
        <v>1290</v>
      </c>
      <c r="F532" s="30">
        <v>45564</v>
      </c>
      <c r="G532" s="19" t="s">
        <v>471</v>
      </c>
      <c r="H532" s="19" t="str">
        <f t="shared" ca="1" si="8"/>
        <v>1 Years, 8 Months, 5 Days</v>
      </c>
      <c r="I532" s="4" t="s">
        <v>199</v>
      </c>
      <c r="J532" s="4" t="s">
        <v>473</v>
      </c>
      <c r="K532" s="6">
        <v>1821718747</v>
      </c>
      <c r="L532" s="6" t="s">
        <v>42</v>
      </c>
      <c r="M532" s="9">
        <v>541175</v>
      </c>
      <c r="N532" s="4" t="s">
        <v>583</v>
      </c>
      <c r="O532" s="4" t="s">
        <v>61</v>
      </c>
      <c r="P532" s="4" t="s">
        <v>584</v>
      </c>
      <c r="Q532" s="3" t="s">
        <v>32</v>
      </c>
      <c r="R532" s="3" t="s">
        <v>33</v>
      </c>
      <c r="S532" s="4"/>
    </row>
    <row r="533" spans="1:19" ht="17.45">
      <c r="A533" s="3">
        <f>SUBTOTAL(103,$B$4:B533)</f>
        <v>530</v>
      </c>
      <c r="B533" s="8">
        <v>550114</v>
      </c>
      <c r="C533" s="5" t="s">
        <v>1316</v>
      </c>
      <c r="D533" s="4" t="s">
        <v>38</v>
      </c>
      <c r="E533" s="4" t="s">
        <v>1290</v>
      </c>
      <c r="F533" s="30">
        <v>45673</v>
      </c>
      <c r="G533" s="19" t="s">
        <v>471</v>
      </c>
      <c r="H533" s="19" t="str">
        <f t="shared" ca="1" si="8"/>
        <v>1 Years, 4 Months, 18 Days</v>
      </c>
      <c r="I533" s="4" t="s">
        <v>1317</v>
      </c>
      <c r="J533" s="4" t="s">
        <v>473</v>
      </c>
      <c r="K533" s="6">
        <v>1773654802</v>
      </c>
      <c r="L533" s="6" t="s">
        <v>42</v>
      </c>
      <c r="M533" s="9">
        <v>541175</v>
      </c>
      <c r="N533" s="4" t="s">
        <v>583</v>
      </c>
      <c r="O533" s="4" t="s">
        <v>61</v>
      </c>
      <c r="P533" s="4" t="s">
        <v>584</v>
      </c>
      <c r="Q533" s="3" t="s">
        <v>32</v>
      </c>
      <c r="R533" s="3" t="s">
        <v>33</v>
      </c>
      <c r="S533" s="4"/>
    </row>
    <row r="534" spans="1:19" ht="17.45">
      <c r="A534" s="3">
        <f>SUBTOTAL(103,$B$4:B534)</f>
        <v>531</v>
      </c>
      <c r="B534" s="8">
        <v>58581</v>
      </c>
      <c r="C534" s="5" t="s">
        <v>1318</v>
      </c>
      <c r="D534" s="4" t="s">
        <v>1284</v>
      </c>
      <c r="E534" s="4" t="s">
        <v>1290</v>
      </c>
      <c r="F534" s="30">
        <v>40166</v>
      </c>
      <c r="G534" s="19" t="s">
        <v>648</v>
      </c>
      <c r="H534" s="19" t="str">
        <f t="shared" ca="1" si="8"/>
        <v>16 Years, 5 Months, 15 Days</v>
      </c>
      <c r="I534" s="4" t="s">
        <v>1319</v>
      </c>
      <c r="J534" s="4" t="s">
        <v>28</v>
      </c>
      <c r="K534" s="6"/>
      <c r="L534" s="6"/>
      <c r="M534" s="9">
        <v>542090</v>
      </c>
      <c r="N534" s="4" t="s">
        <v>1302</v>
      </c>
      <c r="O534" s="4" t="str">
        <f>VLOOKUP(Table1[[#This Row],[Supervisors'' Enroll]],[1]EmployeeMonthLyStatus!$B$2:$G$2474,6,FALSE)</f>
        <v>Sales Manager</v>
      </c>
      <c r="P534" s="18" t="s">
        <v>1303</v>
      </c>
      <c r="Q534" s="3" t="s">
        <v>32</v>
      </c>
      <c r="R534" s="3" t="s">
        <v>124</v>
      </c>
      <c r="S534" s="4" t="s">
        <v>1320</v>
      </c>
    </row>
    <row r="535" spans="1:19" ht="17.45">
      <c r="A535" s="3">
        <f>SUBTOTAL(103,$B$4:B535)</f>
        <v>532</v>
      </c>
      <c r="B535" s="8">
        <v>176113</v>
      </c>
      <c r="C535" s="5" t="s">
        <v>1321</v>
      </c>
      <c r="D535" s="4" t="s">
        <v>94</v>
      </c>
      <c r="E535" s="4" t="s">
        <v>1290</v>
      </c>
      <c r="F535" s="30">
        <v>42058</v>
      </c>
      <c r="G535" s="19" t="s">
        <v>144</v>
      </c>
      <c r="H535" s="19" t="str">
        <f t="shared" ca="1" si="8"/>
        <v>11 Years, 3 Months, 11 Days</v>
      </c>
      <c r="I535" s="4" t="s">
        <v>1322</v>
      </c>
      <c r="J535" s="4" t="s">
        <v>28</v>
      </c>
      <c r="K535" s="6">
        <v>1711451856</v>
      </c>
      <c r="L535" s="6">
        <v>1713020561</v>
      </c>
      <c r="M535" s="8">
        <v>204848</v>
      </c>
      <c r="N535" s="4" t="s">
        <v>258</v>
      </c>
      <c r="O535" s="4" t="str">
        <f>VLOOKUP(Table1[[#This Row],[Supervisors'' Enroll]],[1]EmployeeMonthLyStatus!$B$2:$G$2474,6,FALSE)</f>
        <v>Sr. General Manager</v>
      </c>
      <c r="P535" s="18" t="s">
        <v>260</v>
      </c>
      <c r="Q535" s="3" t="s">
        <v>32</v>
      </c>
      <c r="R535" s="3" t="s">
        <v>124</v>
      </c>
      <c r="S535" s="4" t="s">
        <v>1323</v>
      </c>
    </row>
    <row r="536" spans="1:19" ht="17.45">
      <c r="A536" s="3">
        <f>SUBTOTAL(103,$B$4:B536)</f>
        <v>533</v>
      </c>
      <c r="B536" s="8">
        <v>58026</v>
      </c>
      <c r="C536" s="5" t="s">
        <v>1324</v>
      </c>
      <c r="D536" s="4" t="s">
        <v>24</v>
      </c>
      <c r="E536" s="4" t="s">
        <v>1325</v>
      </c>
      <c r="F536" s="30">
        <v>39158</v>
      </c>
      <c r="G536" s="19" t="s">
        <v>26</v>
      </c>
      <c r="H536" s="19" t="str">
        <f t="shared" ca="1" si="8"/>
        <v>19 Years, 2 Months, 17 Days</v>
      </c>
      <c r="I536" s="4" t="s">
        <v>1326</v>
      </c>
      <c r="J536" s="4" t="s">
        <v>28</v>
      </c>
      <c r="K536" s="6">
        <v>1712314716</v>
      </c>
      <c r="L536" s="6">
        <v>1777743592</v>
      </c>
      <c r="M536" s="9">
        <v>1357</v>
      </c>
      <c r="N536" s="4" t="s">
        <v>1327</v>
      </c>
      <c r="O536" s="4" t="s">
        <v>30</v>
      </c>
      <c r="P536" s="4" t="s">
        <v>1328</v>
      </c>
      <c r="Q536" s="3" t="s">
        <v>32</v>
      </c>
      <c r="R536" s="3" t="s">
        <v>33</v>
      </c>
      <c r="S536" s="4"/>
    </row>
    <row r="537" spans="1:19" ht="17.45">
      <c r="A537" s="3">
        <f>SUBTOTAL(103,$B$4:B537)</f>
        <v>534</v>
      </c>
      <c r="B537" s="8">
        <v>58242</v>
      </c>
      <c r="C537" s="5" t="s">
        <v>1329</v>
      </c>
      <c r="D537" s="4" t="s">
        <v>48</v>
      </c>
      <c r="E537" s="4" t="s">
        <v>1325</v>
      </c>
      <c r="F537" s="30">
        <v>41283</v>
      </c>
      <c r="G537" s="19" t="s">
        <v>26</v>
      </c>
      <c r="H537" s="19" t="str">
        <f t="shared" ca="1" si="8"/>
        <v>13 Years, 4 Months, 25 Days</v>
      </c>
      <c r="I537" s="4" t="s">
        <v>1330</v>
      </c>
      <c r="J537" s="4" t="s">
        <v>28</v>
      </c>
      <c r="K537" s="6">
        <v>1739816232</v>
      </c>
      <c r="L537" s="6">
        <v>1755516326</v>
      </c>
      <c r="M537" s="9">
        <v>1357</v>
      </c>
      <c r="N537" s="4" t="s">
        <v>1327</v>
      </c>
      <c r="O537" s="4" t="s">
        <v>30</v>
      </c>
      <c r="P537" s="4" t="s">
        <v>1328</v>
      </c>
      <c r="Q537" s="3" t="s">
        <v>32</v>
      </c>
      <c r="R537" s="3" t="s">
        <v>33</v>
      </c>
      <c r="S537" s="4"/>
    </row>
    <row r="538" spans="1:19" ht="17.45">
      <c r="A538" s="3">
        <f>SUBTOTAL(103,$B$4:B538)</f>
        <v>535</v>
      </c>
      <c r="B538" s="8">
        <v>313312</v>
      </c>
      <c r="C538" s="5" t="s">
        <v>1331</v>
      </c>
      <c r="D538" s="4" t="s">
        <v>24</v>
      </c>
      <c r="E538" s="4" t="s">
        <v>1325</v>
      </c>
      <c r="F538" s="30">
        <v>42995</v>
      </c>
      <c r="G538" s="19" t="s">
        <v>26</v>
      </c>
      <c r="H538" s="19" t="str">
        <f t="shared" ca="1" si="8"/>
        <v>8 Years, 8 Months, 17 Days</v>
      </c>
      <c r="I538" s="4" t="s">
        <v>1332</v>
      </c>
      <c r="J538" s="4" t="s">
        <v>28</v>
      </c>
      <c r="K538" s="6">
        <v>1911134015</v>
      </c>
      <c r="L538" s="6">
        <v>1777718291</v>
      </c>
      <c r="M538" s="9">
        <v>1357</v>
      </c>
      <c r="N538" s="4" t="s">
        <v>1327</v>
      </c>
      <c r="O538" s="4" t="s">
        <v>30</v>
      </c>
      <c r="P538" s="4" t="s">
        <v>1328</v>
      </c>
      <c r="Q538" s="3" t="s">
        <v>32</v>
      </c>
      <c r="R538" s="3" t="s">
        <v>33</v>
      </c>
      <c r="S538" s="4"/>
    </row>
    <row r="539" spans="1:19" ht="17.45">
      <c r="A539" s="3">
        <f>SUBTOTAL(103,$B$4:B539)</f>
        <v>536</v>
      </c>
      <c r="B539" s="8">
        <v>373633</v>
      </c>
      <c r="C539" s="5" t="s">
        <v>1333</v>
      </c>
      <c r="D539" s="4" t="s">
        <v>35</v>
      </c>
      <c r="E539" s="4" t="s">
        <v>1325</v>
      </c>
      <c r="F539" s="30">
        <v>43246</v>
      </c>
      <c r="G539" s="19" t="s">
        <v>26</v>
      </c>
      <c r="H539" s="19" t="str">
        <f t="shared" ca="1" si="8"/>
        <v>8 Years, 0 Months, 8 Days</v>
      </c>
      <c r="I539" s="4" t="s">
        <v>1334</v>
      </c>
      <c r="J539" s="4" t="s">
        <v>28</v>
      </c>
      <c r="K539" s="6">
        <v>1717762062</v>
      </c>
      <c r="L539" s="6">
        <v>1777743527</v>
      </c>
      <c r="M539" s="9">
        <v>1357</v>
      </c>
      <c r="N539" s="4" t="s">
        <v>1327</v>
      </c>
      <c r="O539" s="4" t="s">
        <v>30</v>
      </c>
      <c r="P539" s="4" t="s">
        <v>1328</v>
      </c>
      <c r="Q539" s="3" t="s">
        <v>32</v>
      </c>
      <c r="R539" s="3" t="s">
        <v>33</v>
      </c>
      <c r="S539" s="4"/>
    </row>
    <row r="540" spans="1:19" ht="17.45">
      <c r="A540" s="3">
        <f>SUBTOTAL(103,$B$4:B540)</f>
        <v>537</v>
      </c>
      <c r="B540" s="8">
        <v>377132</v>
      </c>
      <c r="C540" s="5" t="s">
        <v>1335</v>
      </c>
      <c r="D540" s="4" t="s">
        <v>24</v>
      </c>
      <c r="E540" s="4" t="s">
        <v>1325</v>
      </c>
      <c r="F540" s="30">
        <v>43278</v>
      </c>
      <c r="G540" s="19" t="s">
        <v>26</v>
      </c>
      <c r="H540" s="19" t="str">
        <f t="shared" ca="1" si="8"/>
        <v>7 Years, 11 Months, 7 Days</v>
      </c>
      <c r="I540" s="4" t="s">
        <v>1336</v>
      </c>
      <c r="J540" s="4" t="s">
        <v>28</v>
      </c>
      <c r="K540" s="6">
        <v>1711003833</v>
      </c>
      <c r="L540" s="6">
        <v>1777743532</v>
      </c>
      <c r="M540" s="9">
        <v>1357</v>
      </c>
      <c r="N540" s="4" t="s">
        <v>1327</v>
      </c>
      <c r="O540" s="4" t="s">
        <v>30</v>
      </c>
      <c r="P540" s="4" t="s">
        <v>1328</v>
      </c>
      <c r="Q540" s="3" t="s">
        <v>32</v>
      </c>
      <c r="R540" s="3" t="s">
        <v>33</v>
      </c>
      <c r="S540" s="4"/>
    </row>
    <row r="541" spans="1:19" ht="17.45">
      <c r="A541" s="3">
        <f>SUBTOTAL(103,$B$4:B541)</f>
        <v>538</v>
      </c>
      <c r="B541" s="8">
        <v>420938</v>
      </c>
      <c r="C541" s="5" t="s">
        <v>1337</v>
      </c>
      <c r="D541" s="4" t="s">
        <v>35</v>
      </c>
      <c r="E541" s="4" t="s">
        <v>1325</v>
      </c>
      <c r="F541" s="30">
        <v>43466</v>
      </c>
      <c r="G541" s="19" t="s">
        <v>26</v>
      </c>
      <c r="H541" s="19" t="str">
        <f t="shared" ca="1" si="8"/>
        <v>7 Years, 5 Months, 2 Days</v>
      </c>
      <c r="I541" s="4" t="s">
        <v>1338</v>
      </c>
      <c r="J541" s="4" t="s">
        <v>28</v>
      </c>
      <c r="K541" s="6">
        <v>1713020538</v>
      </c>
      <c r="L541" s="6">
        <v>1713020538</v>
      </c>
      <c r="M541" s="9">
        <v>1357</v>
      </c>
      <c r="N541" s="4" t="s">
        <v>1327</v>
      </c>
      <c r="O541" s="4" t="s">
        <v>30</v>
      </c>
      <c r="P541" s="4" t="s">
        <v>1328</v>
      </c>
      <c r="Q541" s="3" t="s">
        <v>32</v>
      </c>
      <c r="R541" s="3" t="s">
        <v>33</v>
      </c>
      <c r="S541" s="4"/>
    </row>
    <row r="542" spans="1:19" ht="17.45">
      <c r="A542" s="3">
        <f>SUBTOTAL(103,$B$4:B542)</f>
        <v>539</v>
      </c>
      <c r="B542" s="8">
        <v>511822</v>
      </c>
      <c r="C542" s="5" t="s">
        <v>1339</v>
      </c>
      <c r="D542" s="4" t="s">
        <v>35</v>
      </c>
      <c r="E542" s="4" t="s">
        <v>1325</v>
      </c>
      <c r="F542" s="30">
        <v>44230</v>
      </c>
      <c r="G542" s="19" t="s">
        <v>26</v>
      </c>
      <c r="H542" s="19" t="str">
        <f t="shared" ca="1" si="8"/>
        <v>5 Years, 4 Months, 0 Days</v>
      </c>
      <c r="I542" s="4" t="s">
        <v>1340</v>
      </c>
      <c r="J542" s="4" t="s">
        <v>28</v>
      </c>
      <c r="K542" s="6">
        <v>1789889606</v>
      </c>
      <c r="L542" s="6">
        <v>1755516524</v>
      </c>
      <c r="M542" s="9">
        <v>1357</v>
      </c>
      <c r="N542" s="4" t="s">
        <v>1327</v>
      </c>
      <c r="O542" s="4" t="s">
        <v>30</v>
      </c>
      <c r="P542" s="4" t="s">
        <v>1328</v>
      </c>
      <c r="Q542" s="3" t="s">
        <v>32</v>
      </c>
      <c r="R542" s="3" t="s">
        <v>33</v>
      </c>
      <c r="S542" s="4"/>
    </row>
    <row r="543" spans="1:19" ht="17.45">
      <c r="A543" s="3">
        <f>SUBTOTAL(103,$B$4:B543)</f>
        <v>540</v>
      </c>
      <c r="B543" s="8">
        <v>540188</v>
      </c>
      <c r="C543" s="5" t="s">
        <v>1341</v>
      </c>
      <c r="D543" s="4" t="s">
        <v>35</v>
      </c>
      <c r="E543" s="4" t="s">
        <v>1325</v>
      </c>
      <c r="F543" s="30">
        <v>45263</v>
      </c>
      <c r="G543" s="19" t="s">
        <v>26</v>
      </c>
      <c r="H543" s="19" t="str">
        <f t="shared" ca="1" si="8"/>
        <v>2 Years, 6 Months, 0 Days</v>
      </c>
      <c r="I543" s="4" t="s">
        <v>1342</v>
      </c>
      <c r="J543" s="4" t="s">
        <v>28</v>
      </c>
      <c r="K543" s="6">
        <v>1714069945</v>
      </c>
      <c r="L543" s="6">
        <v>1329645835</v>
      </c>
      <c r="M543" s="9">
        <v>1357</v>
      </c>
      <c r="N543" s="4" t="s">
        <v>1327</v>
      </c>
      <c r="O543" s="4" t="s">
        <v>30</v>
      </c>
      <c r="P543" s="4" t="s">
        <v>1328</v>
      </c>
      <c r="Q543" s="3" t="s">
        <v>32</v>
      </c>
      <c r="R543" s="3" t="s">
        <v>33</v>
      </c>
      <c r="S543" s="4"/>
    </row>
    <row r="544" spans="1:19" ht="17.45">
      <c r="A544" s="3">
        <f>SUBTOTAL(103,$B$4:B544)</f>
        <v>541</v>
      </c>
      <c r="B544" s="8">
        <v>530474</v>
      </c>
      <c r="C544" s="5" t="s">
        <v>1343</v>
      </c>
      <c r="D544" s="4" t="s">
        <v>24</v>
      </c>
      <c r="E544" s="4" t="s">
        <v>1325</v>
      </c>
      <c r="F544" s="30">
        <v>44789</v>
      </c>
      <c r="G544" s="19" t="s">
        <v>56</v>
      </c>
      <c r="H544" s="19" t="str">
        <f t="shared" ca="1" si="8"/>
        <v>3 Years, 9 Months, 18 Days</v>
      </c>
      <c r="I544" s="4" t="s">
        <v>1344</v>
      </c>
      <c r="J544" s="4" t="s">
        <v>58</v>
      </c>
      <c r="K544" s="6">
        <v>1722569197</v>
      </c>
      <c r="L544" s="6">
        <v>1713020563</v>
      </c>
      <c r="M544" s="9">
        <v>1357</v>
      </c>
      <c r="N544" s="4" t="s">
        <v>1327</v>
      </c>
      <c r="O544" s="4" t="s">
        <v>30</v>
      </c>
      <c r="P544" s="4" t="s">
        <v>1328</v>
      </c>
      <c r="Q544" s="3" t="s">
        <v>32</v>
      </c>
      <c r="R544" s="3" t="s">
        <v>33</v>
      </c>
      <c r="S544" s="4"/>
    </row>
    <row r="545" spans="1:19" ht="17.45">
      <c r="A545" s="3">
        <f>SUBTOTAL(103,$B$4:B545)</f>
        <v>542</v>
      </c>
      <c r="B545" s="8">
        <v>561089</v>
      </c>
      <c r="C545" s="5" t="s">
        <v>1345</v>
      </c>
      <c r="D545" s="4" t="s">
        <v>38</v>
      </c>
      <c r="E545" s="4" t="s">
        <v>1325</v>
      </c>
      <c r="F545" s="30">
        <v>46028</v>
      </c>
      <c r="G545" s="19" t="s">
        <v>26</v>
      </c>
      <c r="H545" s="19" t="str">
        <f t="shared" ca="1" si="8"/>
        <v>0 Years, 4 Months, 28 Days</v>
      </c>
      <c r="I545" s="4" t="s">
        <v>1346</v>
      </c>
      <c r="J545" s="4" t="s">
        <v>28</v>
      </c>
      <c r="K545" s="6"/>
      <c r="L545" s="6"/>
      <c r="M545" s="9">
        <v>1357</v>
      </c>
      <c r="N545" s="4" t="s">
        <v>1327</v>
      </c>
      <c r="O545" s="4" t="s">
        <v>30</v>
      </c>
      <c r="P545" s="4" t="s">
        <v>1328</v>
      </c>
      <c r="Q545" s="3" t="s">
        <v>32</v>
      </c>
      <c r="R545" s="3" t="s">
        <v>33</v>
      </c>
      <c r="S545" s="4"/>
    </row>
    <row r="546" spans="1:19" ht="17.45">
      <c r="A546" s="3">
        <f>SUBTOTAL(103,$B$4:B546)</f>
        <v>543</v>
      </c>
      <c r="B546" s="8">
        <v>562001</v>
      </c>
      <c r="C546" s="5" t="s">
        <v>1347</v>
      </c>
      <c r="D546" s="4" t="s">
        <v>48</v>
      </c>
      <c r="E546" s="4" t="s">
        <v>1325</v>
      </c>
      <c r="F546" s="30">
        <v>46054</v>
      </c>
      <c r="G546" s="19" t="s">
        <v>26</v>
      </c>
      <c r="H546" s="19" t="str">
        <f t="shared" ca="1" si="8"/>
        <v>0 Years, 4 Months, 2 Days</v>
      </c>
      <c r="I546" s="16" t="s">
        <v>1348</v>
      </c>
      <c r="J546" s="4" t="s">
        <v>28</v>
      </c>
      <c r="K546" s="6" t="s">
        <v>1349</v>
      </c>
      <c r="L546" s="6"/>
      <c r="M546" s="9">
        <v>1357</v>
      </c>
      <c r="N546" s="4" t="s">
        <v>1327</v>
      </c>
      <c r="O546" s="4" t="s">
        <v>30</v>
      </c>
      <c r="P546" s="4" t="s">
        <v>1328</v>
      </c>
      <c r="Q546" s="3" t="s">
        <v>32</v>
      </c>
      <c r="R546" s="3" t="s">
        <v>33</v>
      </c>
      <c r="S546" s="4"/>
    </row>
    <row r="547" spans="1:19" ht="17.45">
      <c r="A547" s="3">
        <f>SUBTOTAL(103,$B$4:B547)</f>
        <v>544</v>
      </c>
      <c r="B547" s="8">
        <v>561705</v>
      </c>
      <c r="C547" s="5" t="s">
        <v>1350</v>
      </c>
      <c r="D547" s="4" t="s">
        <v>38</v>
      </c>
      <c r="E547" s="4" t="s">
        <v>1325</v>
      </c>
      <c r="F547" s="30">
        <v>46043</v>
      </c>
      <c r="G547" s="19" t="s">
        <v>26</v>
      </c>
      <c r="H547" s="19" t="str">
        <f t="shared" ca="1" si="8"/>
        <v>0 Years, 4 Months, 13 Days</v>
      </c>
      <c r="I547" s="4" t="s">
        <v>1351</v>
      </c>
      <c r="J547" s="4" t="s">
        <v>28</v>
      </c>
      <c r="K547" s="6" t="s">
        <v>1352</v>
      </c>
      <c r="L547" s="6"/>
      <c r="M547" s="9">
        <v>1357</v>
      </c>
      <c r="N547" s="4" t="s">
        <v>1327</v>
      </c>
      <c r="O547" s="4" t="s">
        <v>30</v>
      </c>
      <c r="P547" s="4" t="s">
        <v>1328</v>
      </c>
      <c r="Q547" s="3" t="s">
        <v>32</v>
      </c>
      <c r="R547" s="3" t="s">
        <v>33</v>
      </c>
      <c r="S547" s="4"/>
    </row>
    <row r="548" spans="1:19" ht="17.45">
      <c r="A548" s="3">
        <f>SUBTOTAL(103,$B$4:B548)</f>
        <v>545</v>
      </c>
      <c r="B548" s="8">
        <v>562000</v>
      </c>
      <c r="C548" s="5" t="s">
        <v>1353</v>
      </c>
      <c r="D548" s="4" t="s">
        <v>38</v>
      </c>
      <c r="E548" s="4" t="s">
        <v>1325</v>
      </c>
      <c r="F548" s="30">
        <v>46054</v>
      </c>
      <c r="G548" s="19" t="s">
        <v>26</v>
      </c>
      <c r="H548" s="19" t="str">
        <f t="shared" ca="1" si="8"/>
        <v>0 Years, 4 Months, 2 Days</v>
      </c>
      <c r="I548" s="4" t="s">
        <v>1354</v>
      </c>
      <c r="J548" s="4" t="s">
        <v>28</v>
      </c>
      <c r="K548" s="6" t="s">
        <v>1355</v>
      </c>
      <c r="L548" s="6"/>
      <c r="M548" s="9">
        <v>1357</v>
      </c>
      <c r="N548" s="4" t="s">
        <v>1327</v>
      </c>
      <c r="O548" s="4" t="s">
        <v>30</v>
      </c>
      <c r="P548" s="4" t="s">
        <v>1328</v>
      </c>
      <c r="Q548" s="3" t="s">
        <v>32</v>
      </c>
      <c r="R548" s="3" t="s">
        <v>33</v>
      </c>
      <c r="S548" s="4"/>
    </row>
    <row r="549" spans="1:19" ht="17.45">
      <c r="A549" s="3">
        <f>SUBTOTAL(103,$B$4:B549)</f>
        <v>546</v>
      </c>
      <c r="B549" s="8">
        <v>561852</v>
      </c>
      <c r="C549" s="5" t="s">
        <v>1356</v>
      </c>
      <c r="D549" s="4" t="s">
        <v>48</v>
      </c>
      <c r="E549" s="4" t="s">
        <v>1325</v>
      </c>
      <c r="F549" s="30">
        <v>46048</v>
      </c>
      <c r="G549" s="19" t="s">
        <v>26</v>
      </c>
      <c r="H549" s="19" t="str">
        <f t="shared" ca="1" si="8"/>
        <v>0 Years, 4 Months, 8 Days</v>
      </c>
      <c r="I549" s="4" t="s">
        <v>1357</v>
      </c>
      <c r="J549" s="4" t="s">
        <v>28</v>
      </c>
      <c r="K549" s="6" t="s">
        <v>1358</v>
      </c>
      <c r="L549" s="6"/>
      <c r="M549" s="9">
        <v>240037</v>
      </c>
      <c r="N549" s="4" t="s">
        <v>1359</v>
      </c>
      <c r="O549" s="4" t="s">
        <v>94</v>
      </c>
      <c r="P549" s="4" t="s">
        <v>1360</v>
      </c>
      <c r="Q549" s="3" t="s">
        <v>32</v>
      </c>
      <c r="R549" s="3" t="s">
        <v>33</v>
      </c>
      <c r="S549" s="4"/>
    </row>
    <row r="550" spans="1:19" ht="17.45">
      <c r="A550" s="3">
        <f>SUBTOTAL(103,$B$4:B550)</f>
        <v>547</v>
      </c>
      <c r="B550" s="8">
        <v>549497</v>
      </c>
      <c r="C550" s="5" t="s">
        <v>60</v>
      </c>
      <c r="D550" s="4" t="s">
        <v>48</v>
      </c>
      <c r="E550" s="4" t="s">
        <v>1325</v>
      </c>
      <c r="F550" s="30">
        <v>45656</v>
      </c>
      <c r="G550" s="19" t="s">
        <v>26</v>
      </c>
      <c r="H550" s="19" t="str">
        <f t="shared" ca="1" si="8"/>
        <v>1 Years, 5 Months, 4 Days</v>
      </c>
      <c r="I550" s="4" t="s">
        <v>1361</v>
      </c>
      <c r="J550" s="4" t="s">
        <v>28</v>
      </c>
      <c r="K550" s="6">
        <v>1567884696</v>
      </c>
      <c r="L550" s="6" t="s">
        <v>42</v>
      </c>
      <c r="M550" s="9">
        <v>539903</v>
      </c>
      <c r="N550" s="4" t="s">
        <v>1157</v>
      </c>
      <c r="O550" s="4" t="s">
        <v>30</v>
      </c>
      <c r="P550" s="4" t="s">
        <v>1158</v>
      </c>
      <c r="Q550" s="3" t="s">
        <v>32</v>
      </c>
      <c r="R550" s="3" t="s">
        <v>33</v>
      </c>
      <c r="S550" s="4"/>
    </row>
    <row r="551" spans="1:19" ht="17.45">
      <c r="A551" s="3">
        <f>SUBTOTAL(103,$B$4:B551)</f>
        <v>548</v>
      </c>
      <c r="B551" s="8">
        <v>549962</v>
      </c>
      <c r="C551" s="5" t="s">
        <v>1362</v>
      </c>
      <c r="D551" s="4" t="s">
        <v>48</v>
      </c>
      <c r="E551" s="4" t="s">
        <v>1325</v>
      </c>
      <c r="F551" s="30">
        <v>45669</v>
      </c>
      <c r="G551" s="19" t="s">
        <v>26</v>
      </c>
      <c r="H551" s="19" t="str">
        <f t="shared" ca="1" si="8"/>
        <v>1 Years, 4 Months, 22 Days</v>
      </c>
      <c r="I551" s="4" t="s">
        <v>1363</v>
      </c>
      <c r="J551" s="4" t="s">
        <v>28</v>
      </c>
      <c r="K551" s="6">
        <v>1687252785</v>
      </c>
      <c r="L551" s="6" t="s">
        <v>42</v>
      </c>
      <c r="M551" s="9">
        <v>539903</v>
      </c>
      <c r="N551" s="4" t="s">
        <v>1157</v>
      </c>
      <c r="O551" s="4" t="s">
        <v>30</v>
      </c>
      <c r="P551" s="4" t="s">
        <v>1158</v>
      </c>
      <c r="Q551" s="3" t="s">
        <v>32</v>
      </c>
      <c r="R551" s="3" t="s">
        <v>33</v>
      </c>
      <c r="S551" s="4"/>
    </row>
    <row r="552" spans="1:19" ht="17.45">
      <c r="A552" s="3">
        <f>SUBTOTAL(103,$B$4:B552)</f>
        <v>549</v>
      </c>
      <c r="B552" s="8">
        <v>549963</v>
      </c>
      <c r="C552" s="5" t="s">
        <v>1364</v>
      </c>
      <c r="D552" s="4" t="s">
        <v>48</v>
      </c>
      <c r="E552" s="4" t="s">
        <v>1325</v>
      </c>
      <c r="F552" s="30">
        <v>45669</v>
      </c>
      <c r="G552" s="19" t="s">
        <v>26</v>
      </c>
      <c r="H552" s="19" t="str">
        <f t="shared" ca="1" si="8"/>
        <v>1 Years, 4 Months, 22 Days</v>
      </c>
      <c r="I552" s="4" t="s">
        <v>1365</v>
      </c>
      <c r="J552" s="4" t="s">
        <v>28</v>
      </c>
      <c r="K552" s="6">
        <v>1781708686</v>
      </c>
      <c r="L552" s="6" t="s">
        <v>42</v>
      </c>
      <c r="M552" s="9">
        <v>539903</v>
      </c>
      <c r="N552" s="4" t="s">
        <v>1157</v>
      </c>
      <c r="O552" s="4" t="s">
        <v>30</v>
      </c>
      <c r="P552" s="4" t="s">
        <v>1158</v>
      </c>
      <c r="Q552" s="3" t="s">
        <v>32</v>
      </c>
      <c r="R552" s="3" t="s">
        <v>33</v>
      </c>
      <c r="S552" s="4"/>
    </row>
    <row r="553" spans="1:19" ht="17.45">
      <c r="A553" s="3">
        <f>SUBTOTAL(103,$B$4:B553)</f>
        <v>550</v>
      </c>
      <c r="B553" s="8">
        <v>558441</v>
      </c>
      <c r="C553" s="5" t="s">
        <v>1366</v>
      </c>
      <c r="D553" s="4" t="s">
        <v>38</v>
      </c>
      <c r="E553" s="4" t="s">
        <v>1325</v>
      </c>
      <c r="F553" s="30">
        <v>45946</v>
      </c>
      <c r="G553" s="19" t="s">
        <v>26</v>
      </c>
      <c r="H553" s="19" t="str">
        <f t="shared" ca="1" si="8"/>
        <v>0 Years, 7 Months, 18 Days</v>
      </c>
      <c r="I553" s="4" t="s">
        <v>1367</v>
      </c>
      <c r="J553" s="4" t="s">
        <v>28</v>
      </c>
      <c r="K553" s="6">
        <v>1793042289</v>
      </c>
      <c r="L553" s="6" t="s">
        <v>42</v>
      </c>
      <c r="M553" s="9">
        <v>539903</v>
      </c>
      <c r="N553" s="4" t="s">
        <v>1157</v>
      </c>
      <c r="O553" s="4" t="s">
        <v>30</v>
      </c>
      <c r="P553" s="4" t="s">
        <v>1158</v>
      </c>
      <c r="Q553" s="3" t="s">
        <v>32</v>
      </c>
      <c r="R553" s="3" t="s">
        <v>33</v>
      </c>
      <c r="S553" s="4"/>
    </row>
    <row r="554" spans="1:19" ht="17.45">
      <c r="A554" s="3">
        <f>SUBTOTAL(103,$B$4:B554)</f>
        <v>551</v>
      </c>
      <c r="B554" s="8">
        <v>549495</v>
      </c>
      <c r="C554" s="5" t="s">
        <v>1368</v>
      </c>
      <c r="D554" s="4" t="s">
        <v>48</v>
      </c>
      <c r="E554" s="4" t="s">
        <v>1325</v>
      </c>
      <c r="F554" s="30">
        <v>45656</v>
      </c>
      <c r="G554" s="19" t="s">
        <v>56</v>
      </c>
      <c r="H554" s="19" t="str">
        <f t="shared" ca="1" si="8"/>
        <v>1 Years, 5 Months, 4 Days</v>
      </c>
      <c r="I554" s="4" t="s">
        <v>1369</v>
      </c>
      <c r="J554" s="4" t="s">
        <v>58</v>
      </c>
      <c r="K554" s="6">
        <v>1976767767</v>
      </c>
      <c r="L554" s="6" t="s">
        <v>42</v>
      </c>
      <c r="M554" s="9">
        <v>539903</v>
      </c>
      <c r="N554" s="4" t="s">
        <v>1157</v>
      </c>
      <c r="O554" s="4" t="s">
        <v>30</v>
      </c>
      <c r="P554" s="4" t="s">
        <v>1158</v>
      </c>
      <c r="Q554" s="3" t="s">
        <v>32</v>
      </c>
      <c r="R554" s="3" t="s">
        <v>33</v>
      </c>
      <c r="S554" s="4"/>
    </row>
    <row r="555" spans="1:19" ht="17.45">
      <c r="A555" s="3">
        <f>SUBTOTAL(103,$B$4:B555)</f>
        <v>552</v>
      </c>
      <c r="B555" s="8">
        <v>533916</v>
      </c>
      <c r="C555" s="5" t="s">
        <v>1370</v>
      </c>
      <c r="D555" s="4" t="s">
        <v>35</v>
      </c>
      <c r="E555" s="4" t="s">
        <v>1325</v>
      </c>
      <c r="F555" s="30">
        <v>44930</v>
      </c>
      <c r="G555" s="19" t="s">
        <v>144</v>
      </c>
      <c r="H555" s="19" t="str">
        <f t="shared" ca="1" si="8"/>
        <v>3 Years, 4 Months, 30 Days</v>
      </c>
      <c r="I555" s="4" t="s">
        <v>1371</v>
      </c>
      <c r="J555" s="4" t="s">
        <v>146</v>
      </c>
      <c r="K555" s="6">
        <v>1921038872</v>
      </c>
      <c r="L555" s="6">
        <v>1324762602</v>
      </c>
      <c r="M555" s="9">
        <v>539903</v>
      </c>
      <c r="N555" s="4" t="s">
        <v>1157</v>
      </c>
      <c r="O555" s="4" t="s">
        <v>30</v>
      </c>
      <c r="P555" s="4" t="s">
        <v>1158</v>
      </c>
      <c r="Q555" s="3" t="s">
        <v>32</v>
      </c>
      <c r="R555" s="3" t="s">
        <v>33</v>
      </c>
      <c r="S555" s="4"/>
    </row>
    <row r="556" spans="1:19" ht="17.45">
      <c r="A556" s="3">
        <f>SUBTOTAL(103,$B$4:B556)</f>
        <v>553</v>
      </c>
      <c r="B556" s="8">
        <v>540042</v>
      </c>
      <c r="C556" s="5" t="s">
        <v>1372</v>
      </c>
      <c r="D556" s="4" t="s">
        <v>24</v>
      </c>
      <c r="E556" s="4" t="s">
        <v>1325</v>
      </c>
      <c r="F556" s="30">
        <v>45249</v>
      </c>
      <c r="G556" s="19" t="s">
        <v>144</v>
      </c>
      <c r="H556" s="19" t="str">
        <f t="shared" ca="1" si="8"/>
        <v>2 Years, 6 Months, 15 Days</v>
      </c>
      <c r="I556" s="4" t="s">
        <v>1373</v>
      </c>
      <c r="J556" s="4" t="s">
        <v>146</v>
      </c>
      <c r="K556" s="6">
        <v>1716898070</v>
      </c>
      <c r="L556" s="6">
        <v>1329645833</v>
      </c>
      <c r="M556" s="9">
        <v>539903</v>
      </c>
      <c r="N556" s="4" t="s">
        <v>1157</v>
      </c>
      <c r="O556" s="4" t="s">
        <v>30</v>
      </c>
      <c r="P556" s="4" t="s">
        <v>1158</v>
      </c>
      <c r="Q556" s="3" t="s">
        <v>32</v>
      </c>
      <c r="R556" s="3" t="s">
        <v>33</v>
      </c>
      <c r="S556" s="4"/>
    </row>
    <row r="557" spans="1:19" ht="17.45">
      <c r="A557" s="3">
        <f>SUBTOTAL(103,$B$4:B557)</f>
        <v>554</v>
      </c>
      <c r="B557" s="8">
        <v>1339</v>
      </c>
      <c r="C557" s="5" t="s">
        <v>1374</v>
      </c>
      <c r="D557" s="4" t="s">
        <v>24</v>
      </c>
      <c r="E557" s="4" t="s">
        <v>1325</v>
      </c>
      <c r="F557" s="30">
        <v>40589</v>
      </c>
      <c r="G557" s="19" t="s">
        <v>152</v>
      </c>
      <c r="H557" s="19" t="str">
        <f t="shared" ca="1" si="8"/>
        <v>15 Years, 3 Months, 19 Days</v>
      </c>
      <c r="I557" s="4" t="s">
        <v>1375</v>
      </c>
      <c r="J557" s="4" t="s">
        <v>154</v>
      </c>
      <c r="K557" s="6">
        <v>1755524946</v>
      </c>
      <c r="L557" s="6">
        <v>1755524946</v>
      </c>
      <c r="M557" s="9">
        <v>539903</v>
      </c>
      <c r="N557" s="4" t="s">
        <v>1157</v>
      </c>
      <c r="O557" s="4" t="s">
        <v>30</v>
      </c>
      <c r="P557" s="4" t="s">
        <v>1158</v>
      </c>
      <c r="Q557" s="3" t="s">
        <v>32</v>
      </c>
      <c r="R557" s="3" t="s">
        <v>33</v>
      </c>
      <c r="S557" s="4"/>
    </row>
    <row r="558" spans="1:19" ht="17.45">
      <c r="A558" s="3">
        <f>SUBTOTAL(103,$B$4:B558)</f>
        <v>555</v>
      </c>
      <c r="B558" s="8">
        <v>153288</v>
      </c>
      <c r="C558" s="5" t="s">
        <v>1376</v>
      </c>
      <c r="D558" s="4" t="s">
        <v>48</v>
      </c>
      <c r="E558" s="4" t="s">
        <v>1325</v>
      </c>
      <c r="F558" s="30">
        <v>41954</v>
      </c>
      <c r="G558" s="19" t="s">
        <v>152</v>
      </c>
      <c r="H558" s="19" t="str">
        <f t="shared" ca="1" si="8"/>
        <v>11 Years, 6 Months, 23 Days</v>
      </c>
      <c r="I558" s="4" t="s">
        <v>1377</v>
      </c>
      <c r="J558" s="4" t="s">
        <v>154</v>
      </c>
      <c r="K558" s="6">
        <v>1627226618</v>
      </c>
      <c r="L558" s="6">
        <v>1313014642</v>
      </c>
      <c r="M558" s="9">
        <v>539903</v>
      </c>
      <c r="N558" s="4" t="s">
        <v>1157</v>
      </c>
      <c r="O558" s="4" t="s">
        <v>30</v>
      </c>
      <c r="P558" s="4" t="s">
        <v>1158</v>
      </c>
      <c r="Q558" s="3" t="s">
        <v>32</v>
      </c>
      <c r="R558" s="3" t="s">
        <v>33</v>
      </c>
      <c r="S558" s="4"/>
    </row>
    <row r="559" spans="1:19" ht="17.45">
      <c r="A559" s="3">
        <f>SUBTOTAL(103,$B$4:B559)</f>
        <v>556</v>
      </c>
      <c r="B559" s="8">
        <v>529669</v>
      </c>
      <c r="C559" s="5" t="s">
        <v>1378</v>
      </c>
      <c r="D559" s="4" t="s">
        <v>35</v>
      </c>
      <c r="E559" s="4" t="s">
        <v>1325</v>
      </c>
      <c r="F559" s="30">
        <v>44735</v>
      </c>
      <c r="G559" s="19" t="s">
        <v>152</v>
      </c>
      <c r="H559" s="19" t="str">
        <f t="shared" ca="1" si="8"/>
        <v>3 Years, 11 Months, 11 Days</v>
      </c>
      <c r="I559" s="4" t="s">
        <v>1379</v>
      </c>
      <c r="J559" s="4" t="s">
        <v>154</v>
      </c>
      <c r="K559" s="6">
        <v>1620725834</v>
      </c>
      <c r="L559" s="6">
        <v>1324762699</v>
      </c>
      <c r="M559" s="9">
        <v>539903</v>
      </c>
      <c r="N559" s="4" t="s">
        <v>1157</v>
      </c>
      <c r="O559" s="4" t="s">
        <v>30</v>
      </c>
      <c r="P559" s="4" t="s">
        <v>1158</v>
      </c>
      <c r="Q559" s="3" t="s">
        <v>32</v>
      </c>
      <c r="R559" s="3" t="s">
        <v>33</v>
      </c>
      <c r="S559" s="4"/>
    </row>
    <row r="560" spans="1:19" ht="17.45">
      <c r="A560" s="3">
        <f>SUBTOTAL(103,$B$4:B560)</f>
        <v>557</v>
      </c>
      <c r="B560" s="8">
        <v>535977</v>
      </c>
      <c r="C560" s="5" t="s">
        <v>1380</v>
      </c>
      <c r="D560" s="4" t="s">
        <v>35</v>
      </c>
      <c r="E560" s="4" t="s">
        <v>1325</v>
      </c>
      <c r="F560" s="30">
        <v>44986</v>
      </c>
      <c r="G560" s="19" t="s">
        <v>152</v>
      </c>
      <c r="H560" s="19" t="str">
        <f t="shared" ca="1" si="8"/>
        <v>3 Years, 3 Months, 2 Days</v>
      </c>
      <c r="I560" s="4" t="s">
        <v>1381</v>
      </c>
      <c r="J560" s="4" t="s">
        <v>154</v>
      </c>
      <c r="K560" s="6">
        <v>1682481367</v>
      </c>
      <c r="L560" s="6">
        <v>1324762605</v>
      </c>
      <c r="M560" s="9">
        <v>539903</v>
      </c>
      <c r="N560" s="4" t="s">
        <v>1157</v>
      </c>
      <c r="O560" s="4" t="s">
        <v>30</v>
      </c>
      <c r="P560" s="4" t="s">
        <v>1158</v>
      </c>
      <c r="Q560" s="3" t="s">
        <v>32</v>
      </c>
      <c r="R560" s="3" t="s">
        <v>33</v>
      </c>
      <c r="S560" s="4"/>
    </row>
    <row r="561" spans="1:19" ht="17.45">
      <c r="A561" s="3">
        <f>SUBTOTAL(103,$B$4:B561)</f>
        <v>558</v>
      </c>
      <c r="B561" s="8">
        <v>549380</v>
      </c>
      <c r="C561" s="5" t="s">
        <v>1382</v>
      </c>
      <c r="D561" s="4" t="s">
        <v>48</v>
      </c>
      <c r="E561" s="4" t="s">
        <v>1325</v>
      </c>
      <c r="F561" s="30">
        <v>45649</v>
      </c>
      <c r="G561" s="19" t="s">
        <v>156</v>
      </c>
      <c r="H561" s="19" t="str">
        <f t="shared" ca="1" si="8"/>
        <v>1 Years, 5 Months, 11 Days</v>
      </c>
      <c r="I561" s="4" t="s">
        <v>1383</v>
      </c>
      <c r="J561" s="4" t="s">
        <v>158</v>
      </c>
      <c r="K561" s="6">
        <v>1717465632</v>
      </c>
      <c r="L561" s="6" t="s">
        <v>42</v>
      </c>
      <c r="M561" s="9">
        <v>539903</v>
      </c>
      <c r="N561" s="4" t="s">
        <v>1157</v>
      </c>
      <c r="O561" s="4" t="s">
        <v>30</v>
      </c>
      <c r="P561" s="4" t="s">
        <v>1158</v>
      </c>
      <c r="Q561" s="3" t="s">
        <v>32</v>
      </c>
      <c r="R561" s="3" t="s">
        <v>33</v>
      </c>
      <c r="S561" s="4"/>
    </row>
    <row r="562" spans="1:19" ht="17.45">
      <c r="A562" s="3">
        <f>SUBTOTAL(103,$B$4:B562)</f>
        <v>559</v>
      </c>
      <c r="B562" s="8">
        <v>240037</v>
      </c>
      <c r="C562" s="5" t="s">
        <v>1359</v>
      </c>
      <c r="D562" s="4" t="s">
        <v>94</v>
      </c>
      <c r="E562" s="4" t="s">
        <v>1325</v>
      </c>
      <c r="F562" s="30">
        <v>42462</v>
      </c>
      <c r="G562" s="19" t="s">
        <v>26</v>
      </c>
      <c r="H562" s="19" t="str">
        <f t="shared" ca="1" si="8"/>
        <v>10 Years, 2 Months, 1 Days</v>
      </c>
      <c r="I562" s="4" t="s">
        <v>1360</v>
      </c>
      <c r="J562" s="4" t="s">
        <v>28</v>
      </c>
      <c r="K562" s="6">
        <v>1975516465</v>
      </c>
      <c r="L562" s="6">
        <v>1713020570</v>
      </c>
      <c r="M562" s="9">
        <v>540363</v>
      </c>
      <c r="N562" s="4" t="s">
        <v>210</v>
      </c>
      <c r="O562" s="4" t="s">
        <v>211</v>
      </c>
      <c r="P562" s="4" t="s">
        <v>212</v>
      </c>
      <c r="Q562" s="3" t="s">
        <v>123</v>
      </c>
      <c r="R562" s="3" t="s">
        <v>124</v>
      </c>
      <c r="S562" s="4" t="s">
        <v>1384</v>
      </c>
    </row>
    <row r="563" spans="1:19" ht="17.45">
      <c r="A563" s="3">
        <f>SUBTOTAL(103,$B$4:B563)</f>
        <v>560</v>
      </c>
      <c r="B563" s="8">
        <v>1357</v>
      </c>
      <c r="C563" s="5" t="s">
        <v>1327</v>
      </c>
      <c r="D563" s="4" t="s">
        <v>30</v>
      </c>
      <c r="E563" s="4" t="s">
        <v>1325</v>
      </c>
      <c r="F563" s="30">
        <v>39123</v>
      </c>
      <c r="G563" s="19" t="s">
        <v>26</v>
      </c>
      <c r="H563" s="19" t="str">
        <f t="shared" ca="1" si="8"/>
        <v>19 Years, 3 Months, 24 Days</v>
      </c>
      <c r="I563" s="4" t="s">
        <v>1328</v>
      </c>
      <c r="J563" s="4" t="s">
        <v>28</v>
      </c>
      <c r="K563" s="6">
        <v>1755516444</v>
      </c>
      <c r="L563" s="6">
        <v>1755516444</v>
      </c>
      <c r="M563" s="9">
        <v>540363</v>
      </c>
      <c r="N563" s="4" t="s">
        <v>210</v>
      </c>
      <c r="O563" s="4" t="s">
        <v>211</v>
      </c>
      <c r="P563" s="4" t="s">
        <v>212</v>
      </c>
      <c r="Q563" s="3" t="s">
        <v>32</v>
      </c>
      <c r="R563" s="3" t="s">
        <v>124</v>
      </c>
      <c r="S563" s="4"/>
    </row>
    <row r="564" spans="1:19" ht="17.45">
      <c r="A564" s="3">
        <f>SUBTOTAL(103,$B$4:B564)</f>
        <v>561</v>
      </c>
      <c r="B564" s="8">
        <v>539903</v>
      </c>
      <c r="C564" s="5" t="s">
        <v>1157</v>
      </c>
      <c r="D564" s="4" t="s">
        <v>30</v>
      </c>
      <c r="E564" s="4" t="s">
        <v>1325</v>
      </c>
      <c r="F564" s="30">
        <v>45235</v>
      </c>
      <c r="G564" s="19" t="s">
        <v>26</v>
      </c>
      <c r="H564" s="19" t="str">
        <f t="shared" ca="1" si="8"/>
        <v>2 Years, 6 Months, 29 Days</v>
      </c>
      <c r="I564" s="4" t="s">
        <v>1158</v>
      </c>
      <c r="J564" s="4" t="s">
        <v>28</v>
      </c>
      <c r="K564" s="6">
        <v>1674923732</v>
      </c>
      <c r="L564" s="6" t="s">
        <v>42</v>
      </c>
      <c r="M564" s="9">
        <v>529668</v>
      </c>
      <c r="N564" s="4" t="s">
        <v>228</v>
      </c>
      <c r="O564" s="4" t="str">
        <f>VLOOKUP(Table1[[#This Row],[Supervisors'' Enroll]],[1]EmployeeMonthLyStatus!$B$2:$G$2474,6,FALSE)</f>
        <v>Chief Executive Officer</v>
      </c>
      <c r="P564" s="18" t="s">
        <v>229</v>
      </c>
      <c r="Q564" s="3" t="s">
        <v>32</v>
      </c>
      <c r="R564" s="3" t="s">
        <v>124</v>
      </c>
      <c r="S564" s="4" t="s">
        <v>1385</v>
      </c>
    </row>
    <row r="565" spans="1:19" ht="17.45">
      <c r="A565" s="3">
        <f>SUBTOTAL(103,$B$4:B565)</f>
        <v>562</v>
      </c>
      <c r="B565" s="8">
        <v>561138</v>
      </c>
      <c r="C565" s="5" t="s">
        <v>1386</v>
      </c>
      <c r="D565" s="4" t="s">
        <v>48</v>
      </c>
      <c r="E565" s="4" t="s">
        <v>1387</v>
      </c>
      <c r="F565" s="30">
        <v>46029</v>
      </c>
      <c r="G565" s="19" t="s">
        <v>152</v>
      </c>
      <c r="H565" s="19" t="str">
        <f t="shared" ca="1" si="8"/>
        <v>0 Years, 4 Months, 27 Days</v>
      </c>
      <c r="I565" s="4" t="s">
        <v>1388</v>
      </c>
      <c r="J565" s="4" t="s">
        <v>154</v>
      </c>
      <c r="K565" s="6"/>
      <c r="L565" s="6"/>
      <c r="M565" s="9">
        <v>1333</v>
      </c>
      <c r="N565" s="4" t="s">
        <v>1015</v>
      </c>
      <c r="O565" s="4" t="s">
        <v>30</v>
      </c>
      <c r="P565" s="4" t="s">
        <v>1016</v>
      </c>
      <c r="Q565" s="3" t="s">
        <v>32</v>
      </c>
      <c r="R565" s="3" t="s">
        <v>33</v>
      </c>
      <c r="S565" s="4"/>
    </row>
    <row r="566" spans="1:19" ht="17.45">
      <c r="A566" s="3">
        <f>SUBTOTAL(103,$B$4:B566)</f>
        <v>563</v>
      </c>
      <c r="B566" s="8">
        <v>561210</v>
      </c>
      <c r="C566" s="5" t="s">
        <v>1389</v>
      </c>
      <c r="D566" s="4" t="s">
        <v>35</v>
      </c>
      <c r="E566" s="4" t="s">
        <v>1387</v>
      </c>
      <c r="F566" s="30">
        <v>46033</v>
      </c>
      <c r="G566" s="19" t="s">
        <v>152</v>
      </c>
      <c r="H566" s="19" t="str">
        <f t="shared" ca="1" si="8"/>
        <v>0 Years, 4 Months, 23 Days</v>
      </c>
      <c r="I566" s="4" t="s">
        <v>1390</v>
      </c>
      <c r="J566" s="4" t="s">
        <v>154</v>
      </c>
      <c r="K566" s="6"/>
      <c r="L566" s="6"/>
      <c r="M566" s="9">
        <v>1333</v>
      </c>
      <c r="N566" s="4" t="s">
        <v>1015</v>
      </c>
      <c r="O566" s="4" t="s">
        <v>30</v>
      </c>
      <c r="P566" s="4" t="s">
        <v>1016</v>
      </c>
      <c r="Q566" s="3" t="s">
        <v>32</v>
      </c>
      <c r="R566" s="3" t="s">
        <v>33</v>
      </c>
      <c r="S566" s="4"/>
    </row>
    <row r="567" spans="1:19" ht="17.45">
      <c r="A567" s="3">
        <f>SUBTOTAL(103,$B$4:B567)</f>
        <v>564</v>
      </c>
      <c r="B567" s="8">
        <v>561137</v>
      </c>
      <c r="C567" s="5" t="s">
        <v>1391</v>
      </c>
      <c r="D567" s="4" t="s">
        <v>35</v>
      </c>
      <c r="E567" s="4" t="s">
        <v>1387</v>
      </c>
      <c r="F567" s="30">
        <v>46029</v>
      </c>
      <c r="G567" s="19" t="s">
        <v>156</v>
      </c>
      <c r="H567" s="19" t="str">
        <f t="shared" ca="1" si="8"/>
        <v>0 Years, 4 Months, 27 Days</v>
      </c>
      <c r="I567" s="4" t="s">
        <v>1392</v>
      </c>
      <c r="J567" s="4" t="s">
        <v>158</v>
      </c>
      <c r="K567" s="6"/>
      <c r="L567" s="6"/>
      <c r="M567" s="9">
        <v>1333</v>
      </c>
      <c r="N567" s="4" t="s">
        <v>1015</v>
      </c>
      <c r="O567" s="4" t="s">
        <v>30</v>
      </c>
      <c r="P567" s="4" t="s">
        <v>1016</v>
      </c>
      <c r="Q567" s="3" t="s">
        <v>32</v>
      </c>
      <c r="R567" s="3" t="s">
        <v>33</v>
      </c>
      <c r="S567" s="4"/>
    </row>
    <row r="568" spans="1:19" ht="17.45">
      <c r="A568" s="3">
        <f>SUBTOTAL(103,$B$4:B568)</f>
        <v>565</v>
      </c>
      <c r="B568" s="8">
        <v>562861</v>
      </c>
      <c r="C568" s="5" t="s">
        <v>1393</v>
      </c>
      <c r="D568" s="4" t="s">
        <v>48</v>
      </c>
      <c r="E568" s="4" t="s">
        <v>1387</v>
      </c>
      <c r="F568" s="30">
        <v>46077</v>
      </c>
      <c r="G568" s="19" t="s">
        <v>144</v>
      </c>
      <c r="H568" s="19" t="str">
        <f t="shared" ca="1" si="8"/>
        <v>0 Years, 3 Months, 10 Days</v>
      </c>
      <c r="I568" s="4" t="s">
        <v>1394</v>
      </c>
      <c r="J568" s="4" t="s">
        <v>146</v>
      </c>
      <c r="K568" s="6" t="s">
        <v>1395</v>
      </c>
      <c r="L568" s="6"/>
      <c r="M568" s="9">
        <v>1333</v>
      </c>
      <c r="N568" s="4" t="s">
        <v>1015</v>
      </c>
      <c r="O568" s="4" t="s">
        <v>30</v>
      </c>
      <c r="P568" s="4" t="s">
        <v>1016</v>
      </c>
      <c r="Q568" s="3" t="s">
        <v>32</v>
      </c>
      <c r="R568" s="3" t="s">
        <v>33</v>
      </c>
      <c r="S568" s="4"/>
    </row>
    <row r="569" spans="1:19" ht="17.45">
      <c r="A569" s="3">
        <f>SUBTOTAL(103,$B$4:B569)</f>
        <v>566</v>
      </c>
      <c r="B569" s="8">
        <v>562862</v>
      </c>
      <c r="C569" s="5" t="s">
        <v>1396</v>
      </c>
      <c r="D569" s="4" t="s">
        <v>48</v>
      </c>
      <c r="E569" s="4" t="s">
        <v>1387</v>
      </c>
      <c r="F569" s="30">
        <v>46077</v>
      </c>
      <c r="G569" s="19" t="s">
        <v>144</v>
      </c>
      <c r="H569" s="19" t="str">
        <f t="shared" ca="1" si="8"/>
        <v>0 Years, 3 Months, 10 Days</v>
      </c>
      <c r="I569" s="4" t="s">
        <v>1397</v>
      </c>
      <c r="J569" s="4" t="s">
        <v>146</v>
      </c>
      <c r="K569" s="6" t="s">
        <v>1398</v>
      </c>
      <c r="L569" s="6"/>
      <c r="M569" s="9">
        <v>1333</v>
      </c>
      <c r="N569" s="4" t="s">
        <v>1015</v>
      </c>
      <c r="O569" s="4" t="s">
        <v>30</v>
      </c>
      <c r="P569" s="4" t="s">
        <v>1016</v>
      </c>
      <c r="Q569" s="3" t="s">
        <v>32</v>
      </c>
      <c r="R569" s="3" t="s">
        <v>33</v>
      </c>
      <c r="S569" s="4"/>
    </row>
    <row r="570" spans="1:19" ht="17.45">
      <c r="A570" s="3">
        <f>SUBTOTAL(103,$B$4:B570)</f>
        <v>567</v>
      </c>
      <c r="B570" s="8">
        <v>560271</v>
      </c>
      <c r="C570" s="5" t="s">
        <v>1399</v>
      </c>
      <c r="D570" s="4" t="s">
        <v>38</v>
      </c>
      <c r="E570" s="4" t="s">
        <v>1400</v>
      </c>
      <c r="F570" s="30">
        <v>46002</v>
      </c>
      <c r="G570" s="19" t="s">
        <v>190</v>
      </c>
      <c r="H570" s="19" t="str">
        <f t="shared" ca="1" si="8"/>
        <v>0 Years, 5 Months, 23 Days</v>
      </c>
      <c r="I570" s="4" t="s">
        <v>1401</v>
      </c>
      <c r="J570" s="4" t="s">
        <v>28</v>
      </c>
      <c r="K570" s="6">
        <v>1734190713</v>
      </c>
      <c r="L570" s="6" t="s">
        <v>42</v>
      </c>
      <c r="M570" s="9">
        <v>75101</v>
      </c>
      <c r="N570" s="4" t="s">
        <v>424</v>
      </c>
      <c r="O570" s="4" t="s">
        <v>30</v>
      </c>
      <c r="P570" s="4" t="s">
        <v>426</v>
      </c>
      <c r="Q570" s="3" t="s">
        <v>32</v>
      </c>
      <c r="R570" s="3" t="s">
        <v>33</v>
      </c>
      <c r="S570" s="4"/>
    </row>
    <row r="571" spans="1:19" ht="17.45">
      <c r="A571" s="3">
        <f>SUBTOTAL(103,$B$4:B571)</f>
        <v>568</v>
      </c>
      <c r="B571" s="8">
        <v>540372</v>
      </c>
      <c r="C571" s="5" t="s">
        <v>216</v>
      </c>
      <c r="D571" s="4" t="s">
        <v>48</v>
      </c>
      <c r="E571" s="4" t="s">
        <v>1402</v>
      </c>
      <c r="F571" s="30">
        <v>45272</v>
      </c>
      <c r="G571" s="19" t="s">
        <v>26</v>
      </c>
      <c r="H571" s="19" t="str">
        <f t="shared" ca="1" si="8"/>
        <v>2 Years, 5 Months, 22 Days</v>
      </c>
      <c r="I571" s="4" t="s">
        <v>217</v>
      </c>
      <c r="J571" s="4" t="s">
        <v>28</v>
      </c>
      <c r="K571" s="6">
        <v>1600296704</v>
      </c>
      <c r="L571" s="6">
        <v>1755516328</v>
      </c>
      <c r="M571" s="9">
        <v>524938</v>
      </c>
      <c r="N571" s="4" t="s">
        <v>185</v>
      </c>
      <c r="O571" s="4" t="s">
        <v>24</v>
      </c>
      <c r="P571" s="4" t="s">
        <v>186</v>
      </c>
      <c r="Q571" s="3" t="s">
        <v>32</v>
      </c>
      <c r="R571" s="3" t="s">
        <v>33</v>
      </c>
      <c r="S571" s="4"/>
    </row>
    <row r="572" spans="1:19" ht="17.45">
      <c r="A572" s="3">
        <f>SUBTOTAL(103,$B$4:B572)</f>
        <v>569</v>
      </c>
      <c r="B572" s="8">
        <v>1707</v>
      </c>
      <c r="C572" s="5" t="s">
        <v>1403</v>
      </c>
      <c r="D572" s="4" t="s">
        <v>61</v>
      </c>
      <c r="E572" s="4" t="s">
        <v>1402</v>
      </c>
      <c r="F572" s="30">
        <v>40205</v>
      </c>
      <c r="G572" s="19" t="s">
        <v>533</v>
      </c>
      <c r="H572" s="19" t="str">
        <f t="shared" ca="1" si="8"/>
        <v>16 Years, 4 Months, 7 Days</v>
      </c>
      <c r="I572" s="4" t="s">
        <v>1404</v>
      </c>
      <c r="J572" s="4" t="s">
        <v>146</v>
      </c>
      <c r="K572" s="6">
        <v>1711454996</v>
      </c>
      <c r="L572" s="6"/>
      <c r="M572" s="14">
        <v>125030</v>
      </c>
      <c r="N572" s="18" t="s">
        <v>1405</v>
      </c>
      <c r="O572" s="4" t="str">
        <f>VLOOKUP(Table1[[#This Row],[Supervisors'' Enroll]],[1]EmployeeMonthLyStatus!$B$2:$G$2474,6,FALSE)</f>
        <v>Junior Executive</v>
      </c>
      <c r="P572" s="18" t="s">
        <v>1406</v>
      </c>
      <c r="Q572" s="3" t="s">
        <v>32</v>
      </c>
      <c r="R572" s="3" t="s">
        <v>33</v>
      </c>
      <c r="S572" s="4"/>
    </row>
    <row r="573" spans="1:19" ht="17.45">
      <c r="A573" s="3">
        <f>SUBTOTAL(103,$B$4:B573)</f>
        <v>570</v>
      </c>
      <c r="B573" s="8">
        <v>251512</v>
      </c>
      <c r="C573" s="5" t="s">
        <v>1407</v>
      </c>
      <c r="D573" s="4" t="s">
        <v>35</v>
      </c>
      <c r="E573" s="4" t="s">
        <v>1408</v>
      </c>
      <c r="F573" s="30">
        <v>42550</v>
      </c>
      <c r="G573" s="19" t="s">
        <v>190</v>
      </c>
      <c r="H573" s="19" t="str">
        <f t="shared" ca="1" si="8"/>
        <v>9 Years, 11 Months, 5 Days</v>
      </c>
      <c r="I573" s="4" t="s">
        <v>1409</v>
      </c>
      <c r="J573" s="4" t="s">
        <v>28</v>
      </c>
      <c r="K573" s="6">
        <v>1633765423</v>
      </c>
      <c r="L573" s="6">
        <v>1787689682</v>
      </c>
      <c r="M573" s="9">
        <v>85589</v>
      </c>
      <c r="N573" s="4" t="s">
        <v>1410</v>
      </c>
      <c r="O573" s="4" t="s">
        <v>61</v>
      </c>
      <c r="P573" s="4" t="s">
        <v>1411</v>
      </c>
      <c r="Q573" s="3" t="s">
        <v>32</v>
      </c>
      <c r="R573" s="3" t="s">
        <v>33</v>
      </c>
      <c r="S573" s="4"/>
    </row>
    <row r="574" spans="1:19" ht="17.45">
      <c r="A574" s="3">
        <f>SUBTOTAL(103,$B$4:B574)</f>
        <v>571</v>
      </c>
      <c r="B574" s="8">
        <v>529890</v>
      </c>
      <c r="C574" s="5" t="s">
        <v>1412</v>
      </c>
      <c r="D574" s="4" t="s">
        <v>35</v>
      </c>
      <c r="E574" s="4" t="s">
        <v>1408</v>
      </c>
      <c r="F574" s="30">
        <v>44762</v>
      </c>
      <c r="G574" s="19" t="s">
        <v>26</v>
      </c>
      <c r="H574" s="19" t="str">
        <f t="shared" ca="1" si="8"/>
        <v>3 Years, 10 Months, 14 Days</v>
      </c>
      <c r="I574" s="4" t="s">
        <v>1413</v>
      </c>
      <c r="J574" s="4" t="s">
        <v>28</v>
      </c>
      <c r="K574" s="6">
        <v>1711843945</v>
      </c>
      <c r="L574" s="6">
        <v>1324762711</v>
      </c>
      <c r="M574" s="9">
        <v>110761</v>
      </c>
      <c r="N574" s="4" t="s">
        <v>664</v>
      </c>
      <c r="O574" s="4" t="s">
        <v>30</v>
      </c>
      <c r="P574" s="4" t="s">
        <v>1224</v>
      </c>
      <c r="Q574" s="3" t="s">
        <v>32</v>
      </c>
      <c r="R574" s="3" t="s">
        <v>33</v>
      </c>
      <c r="S574" s="4"/>
    </row>
    <row r="575" spans="1:19" ht="17.45">
      <c r="A575" s="3">
        <f>SUBTOTAL(103,$B$4:B575)</f>
        <v>572</v>
      </c>
      <c r="B575" s="8">
        <v>529891</v>
      </c>
      <c r="C575" s="5" t="s">
        <v>1414</v>
      </c>
      <c r="D575" s="4" t="s">
        <v>35</v>
      </c>
      <c r="E575" s="4" t="s">
        <v>1408</v>
      </c>
      <c r="F575" s="30">
        <v>44762</v>
      </c>
      <c r="G575" s="19" t="s">
        <v>26</v>
      </c>
      <c r="H575" s="19" t="str">
        <f t="shared" ca="1" si="8"/>
        <v>3 Years, 10 Months, 14 Days</v>
      </c>
      <c r="I575" s="4" t="s">
        <v>1415</v>
      </c>
      <c r="J575" s="4" t="s">
        <v>28</v>
      </c>
      <c r="K575" s="6">
        <v>1925754707</v>
      </c>
      <c r="L575" s="6">
        <v>1324762706</v>
      </c>
      <c r="M575" s="9">
        <v>110761</v>
      </c>
      <c r="N575" s="4" t="s">
        <v>664</v>
      </c>
      <c r="O575" s="4" t="s">
        <v>30</v>
      </c>
      <c r="P575" s="4" t="s">
        <v>1224</v>
      </c>
      <c r="Q575" s="3" t="s">
        <v>32</v>
      </c>
      <c r="R575" s="3" t="s">
        <v>33</v>
      </c>
      <c r="S575" s="4"/>
    </row>
    <row r="576" spans="1:19" ht="17.45">
      <c r="A576" s="3">
        <f>SUBTOTAL(103,$B$4:B576)</f>
        <v>573</v>
      </c>
      <c r="B576" s="8">
        <v>541709</v>
      </c>
      <c r="C576" s="5" t="s">
        <v>1416</v>
      </c>
      <c r="D576" s="4" t="s">
        <v>35</v>
      </c>
      <c r="E576" s="4" t="s">
        <v>1408</v>
      </c>
      <c r="F576" s="30">
        <v>45341</v>
      </c>
      <c r="G576" s="19" t="s">
        <v>26</v>
      </c>
      <c r="H576" s="19" t="str">
        <f t="shared" ca="1" si="8"/>
        <v>2 Years, 3 Months, 15 Days</v>
      </c>
      <c r="I576" s="4" t="s">
        <v>1417</v>
      </c>
      <c r="J576" s="4" t="s">
        <v>28</v>
      </c>
      <c r="K576" s="6">
        <v>1723390303</v>
      </c>
      <c r="L576" s="6">
        <v>1324762539</v>
      </c>
      <c r="M576" s="9">
        <v>110761</v>
      </c>
      <c r="N576" s="4" t="s">
        <v>664</v>
      </c>
      <c r="O576" s="4" t="s">
        <v>30</v>
      </c>
      <c r="P576" s="4" t="s">
        <v>1224</v>
      </c>
      <c r="Q576" s="3" t="s">
        <v>32</v>
      </c>
      <c r="R576" s="3" t="s">
        <v>33</v>
      </c>
      <c r="S576" s="4"/>
    </row>
    <row r="577" spans="1:19" ht="17.45">
      <c r="A577" s="3">
        <f>SUBTOTAL(103,$B$4:B577)</f>
        <v>574</v>
      </c>
      <c r="B577" s="8">
        <v>550024</v>
      </c>
      <c r="C577" s="5" t="s">
        <v>1418</v>
      </c>
      <c r="D577" s="4" t="s">
        <v>35</v>
      </c>
      <c r="E577" s="4" t="s">
        <v>1408</v>
      </c>
      <c r="F577" s="30">
        <v>45671</v>
      </c>
      <c r="G577" s="19" t="s">
        <v>26</v>
      </c>
      <c r="H577" s="19" t="str">
        <f t="shared" ca="1" si="8"/>
        <v>1 Years, 4 Months, 20 Days</v>
      </c>
      <c r="I577" s="4" t="s">
        <v>1419</v>
      </c>
      <c r="J577" s="4" t="s">
        <v>28</v>
      </c>
      <c r="K577" s="6">
        <v>1334762571</v>
      </c>
      <c r="L577" s="6" t="s">
        <v>42</v>
      </c>
      <c r="M577" s="9">
        <v>110761</v>
      </c>
      <c r="N577" s="4" t="s">
        <v>664</v>
      </c>
      <c r="O577" s="4" t="s">
        <v>30</v>
      </c>
      <c r="P577" s="4" t="s">
        <v>1224</v>
      </c>
      <c r="Q577" s="3" t="s">
        <v>32</v>
      </c>
      <c r="R577" s="3" t="s">
        <v>33</v>
      </c>
      <c r="S577" s="4"/>
    </row>
    <row r="578" spans="1:19" ht="17.45">
      <c r="A578" s="3">
        <f>SUBTOTAL(103,$B$4:B578)</f>
        <v>575</v>
      </c>
      <c r="B578" s="8">
        <v>550860</v>
      </c>
      <c r="C578" s="5" t="s">
        <v>1420</v>
      </c>
      <c r="D578" s="4" t="s">
        <v>48</v>
      </c>
      <c r="E578" s="4" t="s">
        <v>1408</v>
      </c>
      <c r="F578" s="30">
        <v>45690</v>
      </c>
      <c r="G578" s="19" t="s">
        <v>26</v>
      </c>
      <c r="H578" s="19" t="str">
        <f t="shared" ca="1" si="8"/>
        <v>1 Years, 4 Months, 1 Days</v>
      </c>
      <c r="I578" s="4" t="s">
        <v>1421</v>
      </c>
      <c r="J578" s="4" t="s">
        <v>28</v>
      </c>
      <c r="K578" s="6">
        <v>1334915818</v>
      </c>
      <c r="L578" s="6" t="s">
        <v>42</v>
      </c>
      <c r="M578" s="9">
        <v>110761</v>
      </c>
      <c r="N578" s="4" t="s">
        <v>664</v>
      </c>
      <c r="O578" s="4" t="s">
        <v>30</v>
      </c>
      <c r="P578" s="4" t="s">
        <v>1224</v>
      </c>
      <c r="Q578" s="3" t="s">
        <v>32</v>
      </c>
      <c r="R578" s="3" t="s">
        <v>33</v>
      </c>
      <c r="S578" s="4"/>
    </row>
    <row r="579" spans="1:19" ht="17.45">
      <c r="A579" s="3">
        <f>SUBTOTAL(103,$B$4:B579)</f>
        <v>576</v>
      </c>
      <c r="B579" s="8">
        <v>554497</v>
      </c>
      <c r="C579" s="5" t="s">
        <v>1422</v>
      </c>
      <c r="D579" s="4" t="s">
        <v>35</v>
      </c>
      <c r="E579" s="4" t="s">
        <v>1408</v>
      </c>
      <c r="F579" s="30">
        <v>45839</v>
      </c>
      <c r="G579" s="19" t="s">
        <v>26</v>
      </c>
      <c r="H579" s="19" t="str">
        <f t="shared" ca="1" si="8"/>
        <v>0 Years, 11 Months, 2 Days</v>
      </c>
      <c r="I579" s="4" t="s">
        <v>1423</v>
      </c>
      <c r="J579" s="4" t="s">
        <v>28</v>
      </c>
      <c r="K579" s="6">
        <v>1516787467</v>
      </c>
      <c r="L579" s="6" t="s">
        <v>42</v>
      </c>
      <c r="M579" s="9">
        <v>110761</v>
      </c>
      <c r="N579" s="4" t="s">
        <v>664</v>
      </c>
      <c r="O579" s="4" t="s">
        <v>30</v>
      </c>
      <c r="P579" s="4" t="s">
        <v>1224</v>
      </c>
      <c r="Q579" s="3" t="s">
        <v>32</v>
      </c>
      <c r="R579" s="3" t="s">
        <v>33</v>
      </c>
      <c r="S579" s="4"/>
    </row>
    <row r="580" spans="1:19" ht="17.45">
      <c r="A580" s="3">
        <f>SUBTOTAL(103,$B$4:B580)</f>
        <v>577</v>
      </c>
      <c r="B580" s="8">
        <v>559280</v>
      </c>
      <c r="C580" s="5" t="s">
        <v>1424</v>
      </c>
      <c r="D580" s="4" t="s">
        <v>48</v>
      </c>
      <c r="E580" s="4" t="s">
        <v>1408</v>
      </c>
      <c r="F580" s="30">
        <v>45970</v>
      </c>
      <c r="G580" s="19" t="s">
        <v>26</v>
      </c>
      <c r="H580" s="19" t="str">
        <f t="shared" ca="1" si="8"/>
        <v>0 Years, 6 Months, 25 Days</v>
      </c>
      <c r="I580" s="4" t="s">
        <v>1425</v>
      </c>
      <c r="J580" s="4" t="s">
        <v>28</v>
      </c>
      <c r="K580" s="6">
        <v>1303455426</v>
      </c>
      <c r="L580" s="6" t="s">
        <v>42</v>
      </c>
      <c r="M580" s="9">
        <v>110761</v>
      </c>
      <c r="N580" s="4" t="s">
        <v>664</v>
      </c>
      <c r="O580" s="4" t="s">
        <v>30</v>
      </c>
      <c r="P580" s="4" t="s">
        <v>1224</v>
      </c>
      <c r="Q580" s="3" t="s">
        <v>32</v>
      </c>
      <c r="R580" s="3" t="s">
        <v>33</v>
      </c>
      <c r="S580" s="4"/>
    </row>
    <row r="581" spans="1:19" ht="17.45">
      <c r="A581" s="3">
        <f>SUBTOTAL(103,$B$4:B581)</f>
        <v>578</v>
      </c>
      <c r="B581" s="8">
        <v>559858</v>
      </c>
      <c r="C581" s="5" t="s">
        <v>1426</v>
      </c>
      <c r="D581" s="4" t="s">
        <v>35</v>
      </c>
      <c r="E581" s="4" t="s">
        <v>1408</v>
      </c>
      <c r="F581" s="30">
        <v>45991</v>
      </c>
      <c r="G581" s="19" t="s">
        <v>26</v>
      </c>
      <c r="H581" s="19" t="str">
        <f t="shared" ref="H581:H644" ca="1" si="9">DATEDIF(F581,TODAY(),"Y") &amp; " Years, " &amp; DATEDIF(F581,TODAY(),"YM") &amp; " Months, " &amp; DATEDIF(F581,TODAY(),"MD") &amp; " Days"</f>
        <v>0 Years, 6 Months, 4 Days</v>
      </c>
      <c r="I581" s="4" t="s">
        <v>1427</v>
      </c>
      <c r="J581" s="4" t="s">
        <v>28</v>
      </c>
      <c r="K581" s="6">
        <v>1737819968</v>
      </c>
      <c r="L581" s="6" t="s">
        <v>42</v>
      </c>
      <c r="M581" s="9">
        <v>110761</v>
      </c>
      <c r="N581" s="4" t="s">
        <v>664</v>
      </c>
      <c r="O581" s="4" t="s">
        <v>30</v>
      </c>
      <c r="P581" s="4" t="s">
        <v>1224</v>
      </c>
      <c r="Q581" s="3" t="s">
        <v>32</v>
      </c>
      <c r="R581" s="3" t="s">
        <v>33</v>
      </c>
      <c r="S581" s="4"/>
    </row>
    <row r="582" spans="1:19" ht="17.45">
      <c r="A582" s="3">
        <f>SUBTOTAL(103,$B$4:B582)</f>
        <v>579</v>
      </c>
      <c r="B582" s="8">
        <v>529355</v>
      </c>
      <c r="C582" s="5" t="s">
        <v>1428</v>
      </c>
      <c r="D582" s="4" t="s">
        <v>61</v>
      </c>
      <c r="E582" s="4" t="s">
        <v>1408</v>
      </c>
      <c r="F582" s="30">
        <v>44713</v>
      </c>
      <c r="G582" s="19" t="s">
        <v>56</v>
      </c>
      <c r="H582" s="19" t="str">
        <f t="shared" ca="1" si="9"/>
        <v>4 Years, 0 Months, 2 Days</v>
      </c>
      <c r="I582" s="4" t="s">
        <v>1429</v>
      </c>
      <c r="J582" s="4" t="s">
        <v>58</v>
      </c>
      <c r="K582" s="6">
        <v>1785272817</v>
      </c>
      <c r="L582" s="6">
        <v>1324762728</v>
      </c>
      <c r="M582" s="9">
        <v>110761</v>
      </c>
      <c r="N582" s="4" t="s">
        <v>664</v>
      </c>
      <c r="O582" s="4" t="s">
        <v>30</v>
      </c>
      <c r="P582" s="4" t="s">
        <v>1224</v>
      </c>
      <c r="Q582" s="3" t="s">
        <v>32</v>
      </c>
      <c r="R582" s="3" t="s">
        <v>33</v>
      </c>
      <c r="S582" s="4"/>
    </row>
    <row r="583" spans="1:19" ht="17.45">
      <c r="A583" s="3">
        <f>SUBTOTAL(103,$B$4:B583)</f>
        <v>580</v>
      </c>
      <c r="B583" s="8">
        <v>553824</v>
      </c>
      <c r="C583" s="5" t="s">
        <v>1430</v>
      </c>
      <c r="D583" s="4" t="s">
        <v>35</v>
      </c>
      <c r="E583" s="4" t="s">
        <v>1408</v>
      </c>
      <c r="F583" s="30">
        <v>45809</v>
      </c>
      <c r="G583" s="19" t="s">
        <v>56</v>
      </c>
      <c r="H583" s="19" t="str">
        <f t="shared" ca="1" si="9"/>
        <v>1 Years, 0 Months, 2 Days</v>
      </c>
      <c r="I583" s="4" t="s">
        <v>1431</v>
      </c>
      <c r="J583" s="4" t="s">
        <v>58</v>
      </c>
      <c r="K583" s="6">
        <v>1766355826</v>
      </c>
      <c r="L583" s="6" t="s">
        <v>42</v>
      </c>
      <c r="M583" s="9">
        <v>110761</v>
      </c>
      <c r="N583" s="4" t="s">
        <v>664</v>
      </c>
      <c r="O583" s="4" t="s">
        <v>30</v>
      </c>
      <c r="P583" s="4" t="s">
        <v>1224</v>
      </c>
      <c r="Q583" s="3" t="s">
        <v>32</v>
      </c>
      <c r="R583" s="3" t="s">
        <v>33</v>
      </c>
      <c r="S583" s="4"/>
    </row>
    <row r="584" spans="1:19" ht="17.45">
      <c r="A584" s="3">
        <f>SUBTOTAL(103,$B$4:B584)</f>
        <v>581</v>
      </c>
      <c r="B584" s="8">
        <v>551052</v>
      </c>
      <c r="C584" s="5" t="s">
        <v>1432</v>
      </c>
      <c r="D584" s="4" t="s">
        <v>48</v>
      </c>
      <c r="E584" s="4" t="s">
        <v>1408</v>
      </c>
      <c r="F584" s="30">
        <v>45706</v>
      </c>
      <c r="G584" s="19" t="s">
        <v>152</v>
      </c>
      <c r="H584" s="19" t="str">
        <f t="shared" ca="1" si="9"/>
        <v>1 Years, 3 Months, 16 Days</v>
      </c>
      <c r="I584" s="4" t="s">
        <v>1433</v>
      </c>
      <c r="J584" s="4" t="s">
        <v>154</v>
      </c>
      <c r="K584" s="6">
        <v>1782296714</v>
      </c>
      <c r="L584" s="6" t="s">
        <v>42</v>
      </c>
      <c r="M584" s="9">
        <v>110761</v>
      </c>
      <c r="N584" s="4" t="s">
        <v>664</v>
      </c>
      <c r="O584" s="4" t="s">
        <v>30</v>
      </c>
      <c r="P584" s="4" t="s">
        <v>1224</v>
      </c>
      <c r="Q584" s="3" t="s">
        <v>32</v>
      </c>
      <c r="R584" s="3" t="s">
        <v>33</v>
      </c>
      <c r="S584" s="4"/>
    </row>
    <row r="585" spans="1:19" ht="17.45">
      <c r="A585" s="3">
        <f>SUBTOTAL(103,$B$4:B585)</f>
        <v>582</v>
      </c>
      <c r="B585" s="8">
        <v>525103</v>
      </c>
      <c r="C585" s="5" t="s">
        <v>1302</v>
      </c>
      <c r="D585" s="4" t="s">
        <v>94</v>
      </c>
      <c r="E585" s="4" t="s">
        <v>1408</v>
      </c>
      <c r="F585" s="30">
        <v>44573</v>
      </c>
      <c r="G585" s="19" t="s">
        <v>152</v>
      </c>
      <c r="H585" s="19" t="str">
        <f t="shared" ca="1" si="9"/>
        <v>4 Years, 4 Months, 22 Days</v>
      </c>
      <c r="I585" s="4" t="s">
        <v>1434</v>
      </c>
      <c r="J585" s="4" t="s">
        <v>28</v>
      </c>
      <c r="K585" s="6">
        <v>1711446095</v>
      </c>
      <c r="L585" s="6">
        <v>1755694418</v>
      </c>
      <c r="M585" s="8">
        <v>111295</v>
      </c>
      <c r="N585" s="5" t="s">
        <v>463</v>
      </c>
      <c r="O585" s="4" t="s">
        <v>129</v>
      </c>
      <c r="P585" s="4" t="s">
        <v>465</v>
      </c>
      <c r="Q585" s="3" t="s">
        <v>123</v>
      </c>
      <c r="R585" s="3" t="s">
        <v>124</v>
      </c>
      <c r="S585" s="4" t="s">
        <v>1435</v>
      </c>
    </row>
    <row r="586" spans="1:19" ht="17.45">
      <c r="A586" s="3">
        <f>SUBTOTAL(103,$B$4:B586)</f>
        <v>583</v>
      </c>
      <c r="B586" s="8">
        <v>556514</v>
      </c>
      <c r="C586" s="5" t="s">
        <v>1436</v>
      </c>
      <c r="D586" s="4" t="s">
        <v>48</v>
      </c>
      <c r="E586" s="4" t="s">
        <v>1408</v>
      </c>
      <c r="F586" s="30">
        <v>45901</v>
      </c>
      <c r="G586" s="19" t="s">
        <v>471</v>
      </c>
      <c r="H586" s="19" t="str">
        <f t="shared" ca="1" si="9"/>
        <v>0 Years, 9 Months, 2 Days</v>
      </c>
      <c r="I586" s="4" t="s">
        <v>1437</v>
      </c>
      <c r="J586" s="4" t="s">
        <v>473</v>
      </c>
      <c r="K586" s="6">
        <v>1626742353</v>
      </c>
      <c r="L586" s="6" t="s">
        <v>42</v>
      </c>
      <c r="M586" s="9">
        <v>325006</v>
      </c>
      <c r="N586" s="4" t="s">
        <v>1438</v>
      </c>
      <c r="O586" s="4" t="s">
        <v>94</v>
      </c>
      <c r="P586" s="4" t="s">
        <v>1439</v>
      </c>
      <c r="Q586" s="3" t="s">
        <v>32</v>
      </c>
      <c r="R586" s="3" t="s">
        <v>33</v>
      </c>
      <c r="S586" s="4"/>
    </row>
    <row r="587" spans="1:19" ht="17.45">
      <c r="A587" s="3">
        <f>SUBTOTAL(103,$B$4:B587)</f>
        <v>584</v>
      </c>
      <c r="B587" s="8">
        <v>537881</v>
      </c>
      <c r="C587" s="5" t="s">
        <v>1440</v>
      </c>
      <c r="D587" s="4" t="s">
        <v>24</v>
      </c>
      <c r="E587" s="4" t="s">
        <v>1408</v>
      </c>
      <c r="F587" s="30">
        <v>45124</v>
      </c>
      <c r="G587" s="19" t="s">
        <v>144</v>
      </c>
      <c r="H587" s="19" t="str">
        <f t="shared" ca="1" si="9"/>
        <v>2 Years, 10 Months, 17 Days</v>
      </c>
      <c r="I587" s="4" t="s">
        <v>1441</v>
      </c>
      <c r="J587" s="4" t="s">
        <v>146</v>
      </c>
      <c r="K587" s="6">
        <v>1737243575</v>
      </c>
      <c r="L587" s="6">
        <v>1324762444</v>
      </c>
      <c r="M587" s="9">
        <v>325006</v>
      </c>
      <c r="N587" s="4" t="s">
        <v>1438</v>
      </c>
      <c r="O587" s="4" t="s">
        <v>94</v>
      </c>
      <c r="P587" s="4" t="s">
        <v>1439</v>
      </c>
      <c r="Q587" s="3" t="s">
        <v>32</v>
      </c>
      <c r="R587" s="3" t="s">
        <v>33</v>
      </c>
      <c r="S587" s="4"/>
    </row>
    <row r="588" spans="1:19" ht="17.45">
      <c r="A588" s="3">
        <f>SUBTOTAL(103,$B$4:B588)</f>
        <v>585</v>
      </c>
      <c r="B588" s="8">
        <v>547973</v>
      </c>
      <c r="C588" s="5" t="s">
        <v>1442</v>
      </c>
      <c r="D588" s="4" t="s">
        <v>48</v>
      </c>
      <c r="E588" s="4" t="s">
        <v>1408</v>
      </c>
      <c r="F588" s="30">
        <v>45588</v>
      </c>
      <c r="G588" s="19" t="s">
        <v>144</v>
      </c>
      <c r="H588" s="19" t="str">
        <f t="shared" ca="1" si="9"/>
        <v>1 Years, 7 Months, 11 Days</v>
      </c>
      <c r="I588" s="4" t="s">
        <v>1443</v>
      </c>
      <c r="J588" s="4" t="s">
        <v>146</v>
      </c>
      <c r="K588" s="6">
        <v>1789085423</v>
      </c>
      <c r="L588" s="6" t="s">
        <v>42</v>
      </c>
      <c r="M588" s="9">
        <v>325006</v>
      </c>
      <c r="N588" s="4" t="s">
        <v>1438</v>
      </c>
      <c r="O588" s="4" t="s">
        <v>94</v>
      </c>
      <c r="P588" s="4" t="s">
        <v>1439</v>
      </c>
      <c r="Q588" s="3" t="s">
        <v>32</v>
      </c>
      <c r="R588" s="3" t="s">
        <v>33</v>
      </c>
      <c r="S588" s="4"/>
    </row>
    <row r="589" spans="1:19" ht="17.45">
      <c r="A589" s="3">
        <f>SUBTOTAL(103,$B$4:B589)</f>
        <v>586</v>
      </c>
      <c r="B589" s="8">
        <v>549128</v>
      </c>
      <c r="C589" s="5" t="s">
        <v>1444</v>
      </c>
      <c r="D589" s="4" t="s">
        <v>24</v>
      </c>
      <c r="E589" s="4" t="s">
        <v>1408</v>
      </c>
      <c r="F589" s="30">
        <v>45643</v>
      </c>
      <c r="G589" s="19" t="s">
        <v>144</v>
      </c>
      <c r="H589" s="19" t="str">
        <f t="shared" ca="1" si="9"/>
        <v>1 Years, 5 Months, 17 Days</v>
      </c>
      <c r="I589" s="4" t="s">
        <v>1445</v>
      </c>
      <c r="J589" s="4" t="s">
        <v>146</v>
      </c>
      <c r="K589" s="6">
        <v>1776095061</v>
      </c>
      <c r="L589" s="6" t="s">
        <v>42</v>
      </c>
      <c r="M589" s="9">
        <v>325006</v>
      </c>
      <c r="N589" s="4" t="s">
        <v>1438</v>
      </c>
      <c r="O589" s="4" t="s">
        <v>94</v>
      </c>
      <c r="P589" s="4" t="s">
        <v>1439</v>
      </c>
      <c r="Q589" s="3" t="s">
        <v>32</v>
      </c>
      <c r="R589" s="3" t="s">
        <v>33</v>
      </c>
      <c r="S589" s="4"/>
    </row>
    <row r="590" spans="1:19" ht="17.25">
      <c r="A590" s="3">
        <f>SUBTOTAL(103,$B$4:B590)</f>
        <v>587</v>
      </c>
      <c r="B590" s="8">
        <v>550866</v>
      </c>
      <c r="C590" s="5" t="s">
        <v>1446</v>
      </c>
      <c r="D590" s="4" t="s">
        <v>35</v>
      </c>
      <c r="E590" s="4" t="s">
        <v>1103</v>
      </c>
      <c r="F590" s="30">
        <v>45698</v>
      </c>
      <c r="G590" s="19" t="s">
        <v>144</v>
      </c>
      <c r="H590" s="19" t="str">
        <f t="shared" ca="1" si="9"/>
        <v>1 Years, 3 Months, 24 Days</v>
      </c>
      <c r="I590" s="4" t="s">
        <v>1447</v>
      </c>
      <c r="J590" s="4" t="s">
        <v>146</v>
      </c>
      <c r="K590" s="6">
        <v>1751735613</v>
      </c>
      <c r="L590" s="6" t="s">
        <v>42</v>
      </c>
      <c r="M590" s="32">
        <v>204848</v>
      </c>
      <c r="N590" s="33" t="s">
        <v>258</v>
      </c>
      <c r="O590" s="32" t="s">
        <v>259</v>
      </c>
      <c r="P590" s="33" t="s">
        <v>260</v>
      </c>
      <c r="Q590" s="3" t="s">
        <v>32</v>
      </c>
      <c r="R590" s="3" t="s">
        <v>33</v>
      </c>
      <c r="S590" s="4"/>
    </row>
    <row r="591" spans="1:19" ht="17.45">
      <c r="A591" s="3">
        <f>SUBTOTAL(103,$B$4:B591)</f>
        <v>588</v>
      </c>
      <c r="B591" s="8">
        <v>551308</v>
      </c>
      <c r="C591" s="5" t="s">
        <v>1448</v>
      </c>
      <c r="D591" s="4" t="s">
        <v>35</v>
      </c>
      <c r="E591" s="4" t="s">
        <v>1408</v>
      </c>
      <c r="F591" s="30">
        <v>45715</v>
      </c>
      <c r="G591" s="19" t="s">
        <v>144</v>
      </c>
      <c r="H591" s="19" t="str">
        <f t="shared" ca="1" si="9"/>
        <v>1 Years, 3 Months, 7 Days</v>
      </c>
      <c r="I591" s="4" t="s">
        <v>1449</v>
      </c>
      <c r="J591" s="4" t="s">
        <v>146</v>
      </c>
      <c r="K591" s="6">
        <v>1714074894</v>
      </c>
      <c r="L591" s="6" t="s">
        <v>42</v>
      </c>
      <c r="M591" s="9">
        <v>325006</v>
      </c>
      <c r="N591" s="4" t="s">
        <v>1438</v>
      </c>
      <c r="O591" s="4" t="s">
        <v>94</v>
      </c>
      <c r="P591" s="4" t="s">
        <v>1439</v>
      </c>
      <c r="Q591" s="3" t="s">
        <v>32</v>
      </c>
      <c r="R591" s="3" t="s">
        <v>33</v>
      </c>
      <c r="S591" s="4"/>
    </row>
    <row r="592" spans="1:19" ht="17.45">
      <c r="A592" s="3">
        <f>SUBTOTAL(103,$B$4:B592)</f>
        <v>589</v>
      </c>
      <c r="B592" s="8">
        <v>555218</v>
      </c>
      <c r="C592" s="5" t="s">
        <v>1450</v>
      </c>
      <c r="D592" s="4" t="s">
        <v>48</v>
      </c>
      <c r="E592" s="4" t="s">
        <v>1408</v>
      </c>
      <c r="F592" s="30">
        <v>45860</v>
      </c>
      <c r="G592" s="19" t="s">
        <v>144</v>
      </c>
      <c r="H592" s="19" t="str">
        <f t="shared" ca="1" si="9"/>
        <v>0 Years, 10 Months, 12 Days</v>
      </c>
      <c r="I592" s="4" t="s">
        <v>1451</v>
      </c>
      <c r="J592" s="4" t="s">
        <v>146</v>
      </c>
      <c r="K592" s="6">
        <v>1620103934</v>
      </c>
      <c r="L592" s="6" t="s">
        <v>42</v>
      </c>
      <c r="M592" s="9">
        <v>325006</v>
      </c>
      <c r="N592" s="4" t="s">
        <v>1438</v>
      </c>
      <c r="O592" s="4" t="s">
        <v>94</v>
      </c>
      <c r="P592" s="4" t="s">
        <v>1439</v>
      </c>
      <c r="Q592" s="3" t="s">
        <v>32</v>
      </c>
      <c r="R592" s="3" t="s">
        <v>33</v>
      </c>
      <c r="S592" s="4"/>
    </row>
    <row r="593" spans="1:19" ht="17.45">
      <c r="A593" s="3">
        <f>SUBTOTAL(103,$B$4:B593)</f>
        <v>590</v>
      </c>
      <c r="B593" s="8">
        <v>541964</v>
      </c>
      <c r="C593" s="5" t="s">
        <v>1452</v>
      </c>
      <c r="D593" s="4" t="s">
        <v>48</v>
      </c>
      <c r="E593" s="4" t="s">
        <v>1408</v>
      </c>
      <c r="F593" s="30">
        <v>45356</v>
      </c>
      <c r="G593" s="19" t="s">
        <v>239</v>
      </c>
      <c r="H593" s="19" t="str">
        <f t="shared" ca="1" si="9"/>
        <v>2 Years, 2 Months, 29 Days</v>
      </c>
      <c r="I593" s="4" t="s">
        <v>1453</v>
      </c>
      <c r="J593" s="4" t="s">
        <v>241</v>
      </c>
      <c r="K593" s="6">
        <v>1942814233</v>
      </c>
      <c r="L593" s="6">
        <v>1777743458</v>
      </c>
      <c r="M593" s="9">
        <v>325006</v>
      </c>
      <c r="N593" s="4" t="s">
        <v>1438</v>
      </c>
      <c r="O593" s="4" t="s">
        <v>94</v>
      </c>
      <c r="P593" s="4" t="s">
        <v>1439</v>
      </c>
      <c r="Q593" s="3" t="s">
        <v>32</v>
      </c>
      <c r="R593" s="3" t="s">
        <v>33</v>
      </c>
      <c r="S593" s="4"/>
    </row>
    <row r="594" spans="1:19" ht="17.45">
      <c r="A594" s="3">
        <f>SUBTOTAL(103,$B$4:B594)</f>
        <v>591</v>
      </c>
      <c r="B594" s="8">
        <v>551296</v>
      </c>
      <c r="C594" s="5" t="s">
        <v>1454</v>
      </c>
      <c r="D594" s="4" t="s">
        <v>35</v>
      </c>
      <c r="E594" s="4" t="s">
        <v>1408</v>
      </c>
      <c r="F594" s="30">
        <v>45715</v>
      </c>
      <c r="G594" s="19" t="s">
        <v>239</v>
      </c>
      <c r="H594" s="19" t="str">
        <f t="shared" ca="1" si="9"/>
        <v>1 Years, 3 Months, 7 Days</v>
      </c>
      <c r="I594" s="4" t="s">
        <v>1455</v>
      </c>
      <c r="J594" s="4" t="s">
        <v>241</v>
      </c>
      <c r="K594" s="6">
        <v>1725102609</v>
      </c>
      <c r="L594" s="6" t="s">
        <v>42</v>
      </c>
      <c r="M594" s="9">
        <v>325006</v>
      </c>
      <c r="N594" s="4" t="s">
        <v>1438</v>
      </c>
      <c r="O594" s="4" t="s">
        <v>94</v>
      </c>
      <c r="P594" s="4" t="s">
        <v>1439</v>
      </c>
      <c r="Q594" s="3" t="s">
        <v>32</v>
      </c>
      <c r="R594" s="3" t="s">
        <v>33</v>
      </c>
      <c r="S594" s="4"/>
    </row>
    <row r="595" spans="1:19" ht="17.45">
      <c r="A595" s="3">
        <f>SUBTOTAL(103,$B$4:B595)</f>
        <v>592</v>
      </c>
      <c r="B595" s="8">
        <v>529226</v>
      </c>
      <c r="C595" s="5" t="s">
        <v>1456</v>
      </c>
      <c r="D595" s="4" t="s">
        <v>1457</v>
      </c>
      <c r="E595" s="4" t="s">
        <v>1408</v>
      </c>
      <c r="F595" s="30">
        <v>44705</v>
      </c>
      <c r="G595" s="19" t="s">
        <v>166</v>
      </c>
      <c r="H595" s="19" t="str">
        <f t="shared" ca="1" si="9"/>
        <v>4 Years, 0 Months, 10 Days</v>
      </c>
      <c r="I595" s="4" t="s">
        <v>1458</v>
      </c>
      <c r="J595" s="4" t="s">
        <v>168</v>
      </c>
      <c r="K595" s="6">
        <v>1819176014</v>
      </c>
      <c r="L595" s="6">
        <v>1324762730</v>
      </c>
      <c r="M595" s="9">
        <v>325006</v>
      </c>
      <c r="N595" s="4" t="s">
        <v>1438</v>
      </c>
      <c r="O595" s="4" t="s">
        <v>94</v>
      </c>
      <c r="P595" s="4" t="s">
        <v>1439</v>
      </c>
      <c r="Q595" s="3" t="s">
        <v>32</v>
      </c>
      <c r="R595" s="3" t="s">
        <v>33</v>
      </c>
      <c r="S595" s="4"/>
    </row>
    <row r="596" spans="1:19" ht="17.45">
      <c r="A596" s="3">
        <f>SUBTOTAL(103,$B$4:B596)</f>
        <v>593</v>
      </c>
      <c r="B596" s="8">
        <v>529227</v>
      </c>
      <c r="C596" s="5" t="s">
        <v>1459</v>
      </c>
      <c r="D596" s="4" t="s">
        <v>1460</v>
      </c>
      <c r="E596" s="4" t="s">
        <v>1408</v>
      </c>
      <c r="F596" s="30">
        <v>44705</v>
      </c>
      <c r="G596" s="19" t="s">
        <v>166</v>
      </c>
      <c r="H596" s="19" t="str">
        <f t="shared" ca="1" si="9"/>
        <v>4 Years, 0 Months, 10 Days</v>
      </c>
      <c r="I596" s="4" t="s">
        <v>1461</v>
      </c>
      <c r="J596" s="4" t="s">
        <v>168</v>
      </c>
      <c r="K596" s="6">
        <v>1823976001</v>
      </c>
      <c r="L596" s="6">
        <v>1324762729</v>
      </c>
      <c r="M596" s="9">
        <v>325006</v>
      </c>
      <c r="N596" s="4" t="s">
        <v>1438</v>
      </c>
      <c r="O596" s="4" t="s">
        <v>94</v>
      </c>
      <c r="P596" s="4" t="s">
        <v>1439</v>
      </c>
      <c r="Q596" s="3" t="s">
        <v>32</v>
      </c>
      <c r="R596" s="3" t="s">
        <v>33</v>
      </c>
      <c r="S596" s="4"/>
    </row>
    <row r="597" spans="1:19" ht="17.45">
      <c r="A597" s="3">
        <f>SUBTOTAL(103,$B$4:B597)</f>
        <v>594</v>
      </c>
      <c r="B597" s="8">
        <v>531678</v>
      </c>
      <c r="C597" s="5" t="s">
        <v>1462</v>
      </c>
      <c r="D597" s="4" t="s">
        <v>30</v>
      </c>
      <c r="E597" s="4" t="s">
        <v>1408</v>
      </c>
      <c r="F597" s="30">
        <v>44868</v>
      </c>
      <c r="G597" s="19" t="s">
        <v>156</v>
      </c>
      <c r="H597" s="19" t="str">
        <f t="shared" ca="1" si="9"/>
        <v>3 Years, 7 Months, 0 Days</v>
      </c>
      <c r="I597" s="4" t="s">
        <v>1463</v>
      </c>
      <c r="J597" s="4" t="s">
        <v>158</v>
      </c>
      <c r="K597" s="6">
        <v>1324762628</v>
      </c>
      <c r="L597" s="6">
        <v>1324762628</v>
      </c>
      <c r="M597" s="9">
        <v>325006</v>
      </c>
      <c r="N597" s="4" t="s">
        <v>1438</v>
      </c>
      <c r="O597" s="4" t="s">
        <v>94</v>
      </c>
      <c r="P597" s="4" t="s">
        <v>1439</v>
      </c>
      <c r="Q597" s="3" t="s">
        <v>32</v>
      </c>
      <c r="R597" s="3" t="s">
        <v>124</v>
      </c>
      <c r="S597" s="4" t="s">
        <v>1408</v>
      </c>
    </row>
    <row r="598" spans="1:19" ht="17.45">
      <c r="A598" s="3">
        <f>SUBTOTAL(103,$B$4:B598)</f>
        <v>595</v>
      </c>
      <c r="B598" s="8">
        <v>548402</v>
      </c>
      <c r="C598" s="5" t="s">
        <v>759</v>
      </c>
      <c r="D598" s="4" t="s">
        <v>35</v>
      </c>
      <c r="E598" s="4" t="s">
        <v>1408</v>
      </c>
      <c r="F598" s="30">
        <v>45609</v>
      </c>
      <c r="G598" s="19" t="s">
        <v>156</v>
      </c>
      <c r="H598" s="19" t="str">
        <f t="shared" ca="1" si="9"/>
        <v>1 Years, 6 Months, 21 Days</v>
      </c>
      <c r="I598" s="4" t="s">
        <v>1464</v>
      </c>
      <c r="J598" s="4" t="s">
        <v>158</v>
      </c>
      <c r="K598" s="6">
        <v>1757960729</v>
      </c>
      <c r="L598" s="6" t="s">
        <v>42</v>
      </c>
      <c r="M598" s="9">
        <v>325006</v>
      </c>
      <c r="N598" s="4" t="s">
        <v>1438</v>
      </c>
      <c r="O598" s="4" t="s">
        <v>94</v>
      </c>
      <c r="P598" s="4" t="s">
        <v>1439</v>
      </c>
      <c r="Q598" s="3" t="s">
        <v>32</v>
      </c>
      <c r="R598" s="3" t="s">
        <v>33</v>
      </c>
      <c r="S598" s="4"/>
    </row>
    <row r="599" spans="1:19" ht="17.45">
      <c r="A599" s="3">
        <f>SUBTOTAL(103,$B$4:B599)</f>
        <v>596</v>
      </c>
      <c r="B599" s="8">
        <v>551698</v>
      </c>
      <c r="C599" s="5" t="s">
        <v>1465</v>
      </c>
      <c r="D599" s="4" t="s">
        <v>35</v>
      </c>
      <c r="E599" s="4" t="s">
        <v>1408</v>
      </c>
      <c r="F599" s="30">
        <v>45728</v>
      </c>
      <c r="G599" s="19" t="s">
        <v>156</v>
      </c>
      <c r="H599" s="19" t="str">
        <f t="shared" ca="1" si="9"/>
        <v>1 Years, 2 Months, 22 Days</v>
      </c>
      <c r="I599" s="4" t="s">
        <v>1466</v>
      </c>
      <c r="J599" s="4" t="s">
        <v>158</v>
      </c>
      <c r="K599" s="6">
        <v>1888825011</v>
      </c>
      <c r="L599" s="6" t="s">
        <v>42</v>
      </c>
      <c r="M599" s="9">
        <v>325006</v>
      </c>
      <c r="N599" s="4" t="s">
        <v>1438</v>
      </c>
      <c r="O599" s="4" t="s">
        <v>94</v>
      </c>
      <c r="P599" s="4" t="s">
        <v>1439</v>
      </c>
      <c r="Q599" s="3" t="s">
        <v>32</v>
      </c>
      <c r="R599" s="3" t="s">
        <v>33</v>
      </c>
      <c r="S599" s="4"/>
    </row>
    <row r="600" spans="1:19" ht="17.45">
      <c r="A600" s="3">
        <f>SUBTOTAL(103,$B$4:B600)</f>
        <v>597</v>
      </c>
      <c r="B600" s="8">
        <v>553706</v>
      </c>
      <c r="C600" s="5" t="s">
        <v>1467</v>
      </c>
      <c r="D600" s="4" t="s">
        <v>48</v>
      </c>
      <c r="E600" s="4" t="s">
        <v>1408</v>
      </c>
      <c r="F600" s="30">
        <v>45799</v>
      </c>
      <c r="G600" s="19" t="s">
        <v>645</v>
      </c>
      <c r="H600" s="19" t="str">
        <f t="shared" ca="1" si="9"/>
        <v>1 Years, 0 Months, 12 Days</v>
      </c>
      <c r="I600" s="4" t="s">
        <v>1468</v>
      </c>
      <c r="J600" s="4" t="s">
        <v>642</v>
      </c>
      <c r="K600" s="6">
        <v>1916361117</v>
      </c>
      <c r="L600" s="6" t="s">
        <v>42</v>
      </c>
      <c r="M600" s="9">
        <v>325006</v>
      </c>
      <c r="N600" s="4" t="s">
        <v>1438</v>
      </c>
      <c r="O600" s="4" t="s">
        <v>94</v>
      </c>
      <c r="P600" s="4" t="s">
        <v>1439</v>
      </c>
      <c r="Q600" s="3" t="s">
        <v>32</v>
      </c>
      <c r="R600" s="3" t="s">
        <v>33</v>
      </c>
      <c r="S600" s="4"/>
    </row>
    <row r="601" spans="1:19" ht="17.45">
      <c r="A601" s="3">
        <f>SUBTOTAL(103,$B$4:B601)</f>
        <v>598</v>
      </c>
      <c r="B601" s="8">
        <v>437486</v>
      </c>
      <c r="C601" s="5" t="s">
        <v>1469</v>
      </c>
      <c r="D601" s="4" t="s">
        <v>48</v>
      </c>
      <c r="E601" s="4" t="s">
        <v>1408</v>
      </c>
      <c r="F601" s="30">
        <v>43587</v>
      </c>
      <c r="G601" s="19" t="s">
        <v>171</v>
      </c>
      <c r="H601" s="19" t="str">
        <f t="shared" ca="1" si="9"/>
        <v>7 Years, 1 Months, 1 Days</v>
      </c>
      <c r="I601" s="4" t="s">
        <v>1470</v>
      </c>
      <c r="J601" s="4" t="s">
        <v>173</v>
      </c>
      <c r="K601" s="6">
        <v>1715676136</v>
      </c>
      <c r="L601" s="6" t="s">
        <v>42</v>
      </c>
      <c r="M601" s="9">
        <v>325006</v>
      </c>
      <c r="N601" s="4" t="s">
        <v>1438</v>
      </c>
      <c r="O601" s="4" t="s">
        <v>94</v>
      </c>
      <c r="P601" s="4" t="s">
        <v>1439</v>
      </c>
      <c r="Q601" s="3" t="s">
        <v>32</v>
      </c>
      <c r="R601" s="3" t="s">
        <v>33</v>
      </c>
      <c r="S601" s="4"/>
    </row>
    <row r="602" spans="1:19" ht="17.45">
      <c r="A602" s="3">
        <f>SUBTOTAL(103,$B$4:B602)</f>
        <v>599</v>
      </c>
      <c r="B602" s="8">
        <v>533493</v>
      </c>
      <c r="C602" s="5" t="s">
        <v>1471</v>
      </c>
      <c r="D602" s="4" t="s">
        <v>48</v>
      </c>
      <c r="E602" s="4" t="s">
        <v>1408</v>
      </c>
      <c r="F602" s="30">
        <v>44900</v>
      </c>
      <c r="G602" s="19" t="s">
        <v>171</v>
      </c>
      <c r="H602" s="19" t="str">
        <f t="shared" ca="1" si="9"/>
        <v>3 Years, 5 Months, 29 Days</v>
      </c>
      <c r="I602" s="4" t="s">
        <v>1472</v>
      </c>
      <c r="J602" s="4" t="s">
        <v>173</v>
      </c>
      <c r="K602" s="6">
        <v>1717895023</v>
      </c>
      <c r="L602" s="6">
        <v>1324762617</v>
      </c>
      <c r="M602" s="9">
        <v>325006</v>
      </c>
      <c r="N602" s="4" t="s">
        <v>1438</v>
      </c>
      <c r="O602" s="4" t="s">
        <v>94</v>
      </c>
      <c r="P602" s="4" t="s">
        <v>1439</v>
      </c>
      <c r="Q602" s="3" t="s">
        <v>32</v>
      </c>
      <c r="R602" s="3" t="s">
        <v>33</v>
      </c>
      <c r="S602" s="4"/>
    </row>
    <row r="603" spans="1:19" ht="17.45">
      <c r="A603" s="3">
        <f>SUBTOTAL(103,$B$4:B603)</f>
        <v>600</v>
      </c>
      <c r="B603" s="8">
        <v>557603</v>
      </c>
      <c r="C603" s="5" t="s">
        <v>1473</v>
      </c>
      <c r="D603" s="4" t="s">
        <v>48</v>
      </c>
      <c r="E603" s="4" t="s">
        <v>1408</v>
      </c>
      <c r="F603" s="30">
        <v>45924</v>
      </c>
      <c r="G603" s="19" t="s">
        <v>171</v>
      </c>
      <c r="H603" s="19" t="str">
        <f t="shared" ca="1" si="9"/>
        <v>0 Years, 8 Months, 10 Days</v>
      </c>
      <c r="I603" s="4" t="s">
        <v>1474</v>
      </c>
      <c r="J603" s="4" t="s">
        <v>173</v>
      </c>
      <c r="K603" s="6">
        <v>1335128781</v>
      </c>
      <c r="L603" s="6" t="s">
        <v>42</v>
      </c>
      <c r="M603" s="9">
        <v>325006</v>
      </c>
      <c r="N603" s="4" t="s">
        <v>1438</v>
      </c>
      <c r="O603" s="4" t="s">
        <v>94</v>
      </c>
      <c r="P603" s="4" t="s">
        <v>1439</v>
      </c>
      <c r="Q603" s="3" t="s">
        <v>32</v>
      </c>
      <c r="R603" s="3" t="s">
        <v>33</v>
      </c>
      <c r="S603" s="4"/>
    </row>
    <row r="604" spans="1:19" ht="17.45">
      <c r="A604" s="3">
        <f>SUBTOTAL(103,$B$4:B604)</f>
        <v>601</v>
      </c>
      <c r="B604" s="8">
        <v>550510</v>
      </c>
      <c r="C604" s="5" t="s">
        <v>1475</v>
      </c>
      <c r="D604" s="4" t="s">
        <v>48</v>
      </c>
      <c r="E604" s="4" t="s">
        <v>1408</v>
      </c>
      <c r="F604" s="30">
        <v>45690</v>
      </c>
      <c r="G604" s="19" t="s">
        <v>156</v>
      </c>
      <c r="H604" s="19" t="str">
        <f t="shared" ca="1" si="9"/>
        <v>1 Years, 4 Months, 1 Days</v>
      </c>
      <c r="I604" s="4" t="s">
        <v>1476</v>
      </c>
      <c r="J604" s="4" t="s">
        <v>158</v>
      </c>
      <c r="K604" s="6">
        <v>1303464481</v>
      </c>
      <c r="L604" s="6" t="s">
        <v>42</v>
      </c>
      <c r="M604" s="9">
        <v>531678</v>
      </c>
      <c r="N604" s="4" t="s">
        <v>1462</v>
      </c>
      <c r="O604" s="4" t="s">
        <v>30</v>
      </c>
      <c r="P604" s="4" t="s">
        <v>1463</v>
      </c>
      <c r="Q604" s="3" t="s">
        <v>32</v>
      </c>
      <c r="R604" s="3" t="s">
        <v>33</v>
      </c>
      <c r="S604" s="4"/>
    </row>
    <row r="605" spans="1:19" ht="17.45">
      <c r="A605" s="3">
        <f>SUBTOTAL(103,$B$4:B605)</f>
        <v>602</v>
      </c>
      <c r="B605" s="8">
        <v>556693</v>
      </c>
      <c r="C605" s="5" t="s">
        <v>1477</v>
      </c>
      <c r="D605" s="4" t="s">
        <v>48</v>
      </c>
      <c r="E605" s="4" t="s">
        <v>1408</v>
      </c>
      <c r="F605" s="30">
        <v>45907</v>
      </c>
      <c r="G605" s="19" t="s">
        <v>135</v>
      </c>
      <c r="H605" s="19" t="str">
        <f t="shared" ca="1" si="9"/>
        <v>0 Years, 8 Months, 27 Days</v>
      </c>
      <c r="I605" s="4" t="s">
        <v>1478</v>
      </c>
      <c r="J605" s="4" t="s">
        <v>137</v>
      </c>
      <c r="K605" s="6">
        <v>1773403768</v>
      </c>
      <c r="L605" s="6" t="s">
        <v>42</v>
      </c>
      <c r="M605" s="9">
        <v>531678</v>
      </c>
      <c r="N605" s="4" t="s">
        <v>1462</v>
      </c>
      <c r="O605" s="4" t="s">
        <v>30</v>
      </c>
      <c r="P605" s="4" t="s">
        <v>1463</v>
      </c>
      <c r="Q605" s="3" t="s">
        <v>32</v>
      </c>
      <c r="R605" s="3" t="s">
        <v>33</v>
      </c>
      <c r="S605" s="4"/>
    </row>
    <row r="606" spans="1:19" ht="17.45">
      <c r="A606" s="3">
        <f>SUBTOTAL(103,$B$4:B606)</f>
        <v>603</v>
      </c>
      <c r="B606" s="8">
        <v>560567</v>
      </c>
      <c r="C606" s="5" t="s">
        <v>1479</v>
      </c>
      <c r="D606" s="4" t="s">
        <v>35</v>
      </c>
      <c r="E606" s="4" t="s">
        <v>1408</v>
      </c>
      <c r="F606" s="30">
        <v>46012</v>
      </c>
      <c r="G606" s="19" t="s">
        <v>156</v>
      </c>
      <c r="H606" s="19" t="str">
        <f t="shared" ca="1" si="9"/>
        <v>0 Years, 5 Months, 13 Days</v>
      </c>
      <c r="I606" s="4" t="s">
        <v>1480</v>
      </c>
      <c r="J606" s="4" t="s">
        <v>158</v>
      </c>
      <c r="K606" s="6"/>
      <c r="L606" s="6"/>
      <c r="M606" s="9">
        <v>531678</v>
      </c>
      <c r="N606" s="4" t="s">
        <v>1462</v>
      </c>
      <c r="O606" s="4" t="s">
        <v>30</v>
      </c>
      <c r="P606" s="4" t="s">
        <v>1463</v>
      </c>
      <c r="Q606" s="3" t="s">
        <v>32</v>
      </c>
      <c r="R606" s="3" t="s">
        <v>33</v>
      </c>
      <c r="S606" s="4"/>
    </row>
    <row r="607" spans="1:19" ht="17.45">
      <c r="A607" s="3">
        <f>SUBTOTAL(103,$B$4:B607)</f>
        <v>604</v>
      </c>
      <c r="B607" s="8">
        <v>550452</v>
      </c>
      <c r="C607" s="5" t="s">
        <v>1481</v>
      </c>
      <c r="D607" s="4" t="s">
        <v>35</v>
      </c>
      <c r="E607" s="4" t="s">
        <v>1408</v>
      </c>
      <c r="F607" s="30">
        <v>45690</v>
      </c>
      <c r="G607" s="19" t="s">
        <v>144</v>
      </c>
      <c r="H607" s="19" t="str">
        <f t="shared" ca="1" si="9"/>
        <v>1 Years, 4 Months, 1 Days</v>
      </c>
      <c r="I607" s="4" t="s">
        <v>1482</v>
      </c>
      <c r="J607" s="4" t="s">
        <v>146</v>
      </c>
      <c r="K607" s="6">
        <v>1882349198</v>
      </c>
      <c r="L607" s="6" t="s">
        <v>42</v>
      </c>
      <c r="M607" s="9">
        <v>549128</v>
      </c>
      <c r="N607" s="4" t="s">
        <v>1444</v>
      </c>
      <c r="O607" s="4" t="s">
        <v>24</v>
      </c>
      <c r="P607" s="4" t="s">
        <v>1445</v>
      </c>
      <c r="Q607" s="3" t="s">
        <v>32</v>
      </c>
      <c r="R607" s="3" t="s">
        <v>33</v>
      </c>
      <c r="S607" s="4"/>
    </row>
    <row r="608" spans="1:19" ht="17.45">
      <c r="A608" s="3">
        <f>SUBTOTAL(103,$B$4:B608)</f>
        <v>605</v>
      </c>
      <c r="B608" s="8">
        <v>549503</v>
      </c>
      <c r="C608" s="5" t="s">
        <v>1483</v>
      </c>
      <c r="D608" s="4" t="s">
        <v>35</v>
      </c>
      <c r="E608" s="4" t="s">
        <v>1408</v>
      </c>
      <c r="F608" s="30">
        <v>45657</v>
      </c>
      <c r="G608" s="19" t="s">
        <v>156</v>
      </c>
      <c r="H608" s="19" t="str">
        <f t="shared" ca="1" si="9"/>
        <v>1 Years, 5 Months, 3 Days</v>
      </c>
      <c r="I608" s="4" t="s">
        <v>1484</v>
      </c>
      <c r="J608" s="4" t="s">
        <v>158</v>
      </c>
      <c r="K608" s="6">
        <v>1790797204</v>
      </c>
      <c r="L608" s="6" t="s">
        <v>42</v>
      </c>
      <c r="M608" s="9">
        <v>549128</v>
      </c>
      <c r="N608" s="4" t="s">
        <v>1444</v>
      </c>
      <c r="O608" s="4" t="s">
        <v>24</v>
      </c>
      <c r="P608" s="4" t="s">
        <v>1445</v>
      </c>
      <c r="Q608" s="3" t="s">
        <v>32</v>
      </c>
      <c r="R608" s="3" t="s">
        <v>33</v>
      </c>
      <c r="S608" s="4"/>
    </row>
    <row r="609" spans="1:19" ht="17.45">
      <c r="A609" s="3">
        <f>SUBTOTAL(103,$B$4:B609)</f>
        <v>606</v>
      </c>
      <c r="B609" s="8">
        <v>560397</v>
      </c>
      <c r="C609" s="5" t="s">
        <v>1485</v>
      </c>
      <c r="D609" s="4" t="s">
        <v>35</v>
      </c>
      <c r="E609" s="4" t="s">
        <v>1408</v>
      </c>
      <c r="F609" s="30">
        <v>46005</v>
      </c>
      <c r="G609" s="19" t="s">
        <v>348</v>
      </c>
      <c r="H609" s="19" t="str">
        <f t="shared" ca="1" si="9"/>
        <v>0 Years, 5 Months, 20 Days</v>
      </c>
      <c r="I609" s="4" t="s">
        <v>1486</v>
      </c>
      <c r="J609" s="4" t="s">
        <v>350</v>
      </c>
      <c r="K609" s="6">
        <v>1671321296</v>
      </c>
      <c r="L609" s="6" t="s">
        <v>42</v>
      </c>
      <c r="M609" s="9">
        <v>555708</v>
      </c>
      <c r="N609" s="4" t="s">
        <v>351</v>
      </c>
      <c r="O609" s="4" t="s">
        <v>94</v>
      </c>
      <c r="P609" s="4" t="s">
        <v>352</v>
      </c>
      <c r="Q609" s="3" t="s">
        <v>32</v>
      </c>
      <c r="R609" s="3" t="s">
        <v>33</v>
      </c>
      <c r="S609" s="4"/>
    </row>
    <row r="610" spans="1:19" ht="17.45">
      <c r="A610" s="3">
        <f>SUBTOTAL(103,$B$4:B610)</f>
        <v>607</v>
      </c>
      <c r="B610" s="8">
        <v>371661</v>
      </c>
      <c r="C610" s="5" t="s">
        <v>1487</v>
      </c>
      <c r="D610" s="4" t="s">
        <v>61</v>
      </c>
      <c r="E610" s="4" t="s">
        <v>1408</v>
      </c>
      <c r="F610" s="30">
        <v>43227</v>
      </c>
      <c r="G610" s="19" t="s">
        <v>26</v>
      </c>
      <c r="H610" s="19" t="str">
        <f t="shared" ca="1" si="9"/>
        <v>8 Years, 0 Months, 27 Days</v>
      </c>
      <c r="I610" s="4" t="s">
        <v>1488</v>
      </c>
      <c r="J610" s="4" t="s">
        <v>28</v>
      </c>
      <c r="K610" s="6">
        <v>1617336302</v>
      </c>
      <c r="L610" s="6">
        <v>1755630217</v>
      </c>
      <c r="M610" s="9">
        <v>559964</v>
      </c>
      <c r="N610" s="4" t="s">
        <v>385</v>
      </c>
      <c r="O610" s="4" t="s">
        <v>106</v>
      </c>
      <c r="P610" s="4" t="s">
        <v>386</v>
      </c>
      <c r="Q610" s="3" t="s">
        <v>32</v>
      </c>
      <c r="R610" s="3" t="s">
        <v>33</v>
      </c>
      <c r="S610" s="4"/>
    </row>
    <row r="611" spans="1:19" ht="17.45">
      <c r="A611" s="3">
        <f>SUBTOTAL(103,$B$4:B611)</f>
        <v>608</v>
      </c>
      <c r="B611" s="8">
        <v>85589</v>
      </c>
      <c r="C611" s="5" t="s">
        <v>1410</v>
      </c>
      <c r="D611" s="4" t="s">
        <v>61</v>
      </c>
      <c r="E611" s="4" t="s">
        <v>1408</v>
      </c>
      <c r="F611" s="30">
        <v>41536</v>
      </c>
      <c r="G611" s="19" t="s">
        <v>26</v>
      </c>
      <c r="H611" s="19" t="str">
        <f t="shared" ca="1" si="9"/>
        <v>12 Years, 8 Months, 15 Days</v>
      </c>
      <c r="I611" s="4" t="s">
        <v>1411</v>
      </c>
      <c r="J611" s="4" t="s">
        <v>28</v>
      </c>
      <c r="K611" s="6">
        <v>1943200268</v>
      </c>
      <c r="L611" s="6">
        <v>1755524965</v>
      </c>
      <c r="M611" s="9">
        <v>559964</v>
      </c>
      <c r="N611" s="4" t="s">
        <v>385</v>
      </c>
      <c r="O611" s="4" t="s">
        <v>106</v>
      </c>
      <c r="P611" s="4" t="s">
        <v>386</v>
      </c>
      <c r="Q611" s="3" t="s">
        <v>32</v>
      </c>
      <c r="R611" s="3" t="s">
        <v>33</v>
      </c>
      <c r="S611" s="4"/>
    </row>
    <row r="612" spans="1:19" ht="17.45">
      <c r="A612" s="3">
        <f>SUBTOTAL(103,$B$4:B612)</f>
        <v>609</v>
      </c>
      <c r="B612" s="8">
        <v>391795</v>
      </c>
      <c r="C612" s="5" t="s">
        <v>1489</v>
      </c>
      <c r="D612" s="4" t="s">
        <v>48</v>
      </c>
      <c r="E612" s="4" t="s">
        <v>1408</v>
      </c>
      <c r="F612" s="30">
        <v>43374</v>
      </c>
      <c r="G612" s="19" t="s">
        <v>26</v>
      </c>
      <c r="H612" s="19" t="str">
        <f t="shared" ca="1" si="9"/>
        <v>7 Years, 8 Months, 2 Days</v>
      </c>
      <c r="I612" s="4" t="s">
        <v>1490</v>
      </c>
      <c r="J612" s="4" t="s">
        <v>28</v>
      </c>
      <c r="K612" s="6">
        <v>1747617659</v>
      </c>
      <c r="L612" s="6">
        <v>1755516531</v>
      </c>
      <c r="M612" s="9">
        <v>559964</v>
      </c>
      <c r="N612" s="4" t="s">
        <v>385</v>
      </c>
      <c r="O612" s="4" t="s">
        <v>106</v>
      </c>
      <c r="P612" s="4" t="s">
        <v>386</v>
      </c>
      <c r="Q612" s="3" t="s">
        <v>32</v>
      </c>
      <c r="R612" s="3" t="s">
        <v>33</v>
      </c>
      <c r="S612" s="4"/>
    </row>
    <row r="613" spans="1:19" ht="17.45">
      <c r="A613" s="3">
        <f>SUBTOTAL(103,$B$4:B613)</f>
        <v>610</v>
      </c>
      <c r="B613" s="8">
        <v>524475</v>
      </c>
      <c r="C613" s="5" t="s">
        <v>1491</v>
      </c>
      <c r="D613" s="4" t="s">
        <v>35</v>
      </c>
      <c r="E613" s="4" t="s">
        <v>1408</v>
      </c>
      <c r="F613" s="30">
        <v>44507</v>
      </c>
      <c r="G613" s="19" t="s">
        <v>26</v>
      </c>
      <c r="H613" s="19" t="str">
        <f t="shared" ca="1" si="9"/>
        <v>4 Years, 6 Months, 27 Days</v>
      </c>
      <c r="I613" s="4" t="s">
        <v>1492</v>
      </c>
      <c r="J613" s="4" t="s">
        <v>28</v>
      </c>
      <c r="K613" s="6">
        <v>1755630287</v>
      </c>
      <c r="L613" s="6">
        <v>1755630287</v>
      </c>
      <c r="M613" s="9">
        <v>559964</v>
      </c>
      <c r="N613" s="4" t="s">
        <v>385</v>
      </c>
      <c r="O613" s="4" t="s">
        <v>106</v>
      </c>
      <c r="P613" s="4" t="s">
        <v>386</v>
      </c>
      <c r="Q613" s="3" t="s">
        <v>32</v>
      </c>
      <c r="R613" s="3" t="s">
        <v>33</v>
      </c>
      <c r="S613" s="4"/>
    </row>
    <row r="614" spans="1:19" ht="17.45">
      <c r="A614" s="3">
        <f>SUBTOTAL(103,$B$4:B614)</f>
        <v>611</v>
      </c>
      <c r="B614" s="8">
        <v>529353</v>
      </c>
      <c r="C614" s="5" t="s">
        <v>1493</v>
      </c>
      <c r="D614" s="4" t="s">
        <v>61</v>
      </c>
      <c r="E614" s="4" t="s">
        <v>1408</v>
      </c>
      <c r="F614" s="30">
        <v>44713</v>
      </c>
      <c r="G614" s="19" t="s">
        <v>26</v>
      </c>
      <c r="H614" s="19" t="str">
        <f t="shared" ca="1" si="9"/>
        <v>4 Years, 0 Months, 2 Days</v>
      </c>
      <c r="I614" s="4" t="s">
        <v>1494</v>
      </c>
      <c r="J614" s="4" t="s">
        <v>28</v>
      </c>
      <c r="K614" s="6">
        <v>1679426697</v>
      </c>
      <c r="L614" s="6">
        <v>1324762726</v>
      </c>
      <c r="M614" s="9">
        <v>559964</v>
      </c>
      <c r="N614" s="4" t="s">
        <v>385</v>
      </c>
      <c r="O614" s="4" t="s">
        <v>106</v>
      </c>
      <c r="P614" s="4" t="s">
        <v>386</v>
      </c>
      <c r="Q614" s="3" t="s">
        <v>32</v>
      </c>
      <c r="R614" s="3" t="s">
        <v>33</v>
      </c>
      <c r="S614" s="4"/>
    </row>
    <row r="615" spans="1:19" ht="17.45">
      <c r="A615" s="3">
        <f>SUBTOTAL(103,$B$4:B615)</f>
        <v>612</v>
      </c>
      <c r="B615" s="8">
        <v>529893</v>
      </c>
      <c r="C615" s="5" t="s">
        <v>1495</v>
      </c>
      <c r="D615" s="4" t="s">
        <v>24</v>
      </c>
      <c r="E615" s="4" t="s">
        <v>1408</v>
      </c>
      <c r="F615" s="30">
        <v>44762</v>
      </c>
      <c r="G615" s="19" t="s">
        <v>26</v>
      </c>
      <c r="H615" s="19" t="str">
        <f t="shared" ca="1" si="9"/>
        <v>3 Years, 10 Months, 14 Days</v>
      </c>
      <c r="I615" s="4" t="s">
        <v>1496</v>
      </c>
      <c r="J615" s="4" t="s">
        <v>28</v>
      </c>
      <c r="K615" s="6">
        <v>1558293099</v>
      </c>
      <c r="L615" s="6">
        <v>1324762708</v>
      </c>
      <c r="M615" s="9">
        <v>559964</v>
      </c>
      <c r="N615" s="4" t="s">
        <v>385</v>
      </c>
      <c r="O615" s="4" t="s">
        <v>106</v>
      </c>
      <c r="P615" s="4" t="s">
        <v>386</v>
      </c>
      <c r="Q615" s="3" t="s">
        <v>32</v>
      </c>
      <c r="R615" s="3" t="s">
        <v>33</v>
      </c>
      <c r="S615" s="4"/>
    </row>
    <row r="616" spans="1:19" ht="17.45">
      <c r="A616" s="3">
        <f>SUBTOTAL(103,$B$4:B616)</f>
        <v>613</v>
      </c>
      <c r="B616" s="8">
        <v>550026</v>
      </c>
      <c r="C616" s="5" t="s">
        <v>1497</v>
      </c>
      <c r="D616" s="4" t="s">
        <v>35</v>
      </c>
      <c r="E616" s="4" t="s">
        <v>1408</v>
      </c>
      <c r="F616" s="30">
        <v>45671</v>
      </c>
      <c r="G616" s="19" t="s">
        <v>26</v>
      </c>
      <c r="H616" s="19" t="str">
        <f t="shared" ca="1" si="9"/>
        <v>1 Years, 4 Months, 20 Days</v>
      </c>
      <c r="I616" s="4" t="s">
        <v>1498</v>
      </c>
      <c r="J616" s="4" t="s">
        <v>28</v>
      </c>
      <c r="K616" s="6">
        <v>1620854012</v>
      </c>
      <c r="L616" s="6" t="s">
        <v>42</v>
      </c>
      <c r="M616" s="9">
        <v>559964</v>
      </c>
      <c r="N616" s="4" t="s">
        <v>385</v>
      </c>
      <c r="O616" s="4" t="s">
        <v>106</v>
      </c>
      <c r="P616" s="4" t="s">
        <v>386</v>
      </c>
      <c r="Q616" s="3" t="s">
        <v>32</v>
      </c>
      <c r="R616" s="3" t="s">
        <v>33</v>
      </c>
      <c r="S616" s="4"/>
    </row>
    <row r="617" spans="1:19" ht="17.45">
      <c r="A617" s="3">
        <f>SUBTOTAL(103,$B$4:B617)</f>
        <v>614</v>
      </c>
      <c r="B617" s="8">
        <v>563195</v>
      </c>
      <c r="C617" s="5" t="s">
        <v>1499</v>
      </c>
      <c r="D617" s="4" t="s">
        <v>30</v>
      </c>
      <c r="E617" s="4" t="s">
        <v>1408</v>
      </c>
      <c r="F617" s="30">
        <v>46089</v>
      </c>
      <c r="G617" s="19" t="s">
        <v>26</v>
      </c>
      <c r="H617" s="19" t="str">
        <f t="shared" ca="1" si="9"/>
        <v>0 Years, 2 Months, 26 Days</v>
      </c>
      <c r="I617" s="4" t="s">
        <v>1500</v>
      </c>
      <c r="J617" s="4" t="s">
        <v>28</v>
      </c>
      <c r="K617" s="6" t="s">
        <v>1501</v>
      </c>
      <c r="L617" s="6"/>
      <c r="M617" s="9">
        <v>559964</v>
      </c>
      <c r="N617" s="4" t="s">
        <v>385</v>
      </c>
      <c r="O617" s="4" t="s">
        <v>106</v>
      </c>
      <c r="P617" s="4" t="s">
        <v>386</v>
      </c>
      <c r="Q617" s="3" t="s">
        <v>32</v>
      </c>
      <c r="R617" s="3" t="s">
        <v>33</v>
      </c>
      <c r="S617" s="4"/>
    </row>
    <row r="618" spans="1:19" ht="17.45">
      <c r="A618" s="3">
        <f>SUBTOTAL(103,$B$4:B618)</f>
        <v>615</v>
      </c>
      <c r="B618" s="8">
        <v>563272</v>
      </c>
      <c r="C618" s="5" t="s">
        <v>1502</v>
      </c>
      <c r="D618" s="4" t="s">
        <v>38</v>
      </c>
      <c r="E618" s="4" t="s">
        <v>1408</v>
      </c>
      <c r="F618" s="30">
        <v>46090</v>
      </c>
      <c r="G618" s="19" t="s">
        <v>26</v>
      </c>
      <c r="H618" s="19" t="str">
        <f t="shared" ca="1" si="9"/>
        <v>0 Years, 2 Months, 25 Days</v>
      </c>
      <c r="I618" s="4" t="s">
        <v>1503</v>
      </c>
      <c r="J618" s="4" t="s">
        <v>28</v>
      </c>
      <c r="K618" s="6" t="s">
        <v>1504</v>
      </c>
      <c r="L618" s="6"/>
      <c r="M618" s="9">
        <v>559964</v>
      </c>
      <c r="N618" s="4" t="s">
        <v>385</v>
      </c>
      <c r="O618" s="4" t="s">
        <v>106</v>
      </c>
      <c r="P618" s="4" t="s">
        <v>386</v>
      </c>
      <c r="Q618" s="3" t="s">
        <v>32</v>
      </c>
      <c r="R618" s="3" t="s">
        <v>33</v>
      </c>
      <c r="S618" s="4"/>
    </row>
    <row r="619" spans="1:19" ht="17.45">
      <c r="A619" s="3">
        <f>SUBTOTAL(103,$B$4:B619)</f>
        <v>616</v>
      </c>
      <c r="B619" s="8">
        <v>553223</v>
      </c>
      <c r="C619" s="5" t="s">
        <v>1505</v>
      </c>
      <c r="D619" s="4" t="s">
        <v>35</v>
      </c>
      <c r="E619" s="4" t="s">
        <v>1408</v>
      </c>
      <c r="F619" s="30">
        <v>45788</v>
      </c>
      <c r="G619" s="19" t="s">
        <v>152</v>
      </c>
      <c r="H619" s="19" t="str">
        <f t="shared" ca="1" si="9"/>
        <v>1 Years, 0 Months, 23 Days</v>
      </c>
      <c r="I619" s="4" t="s">
        <v>1506</v>
      </c>
      <c r="J619" s="4" t="s">
        <v>154</v>
      </c>
      <c r="K619" s="6">
        <v>1334915727</v>
      </c>
      <c r="L619" s="6" t="s">
        <v>42</v>
      </c>
      <c r="M619" s="9">
        <v>542090</v>
      </c>
      <c r="N619" s="4" t="s">
        <v>1302</v>
      </c>
      <c r="O619" s="4" t="str">
        <f>VLOOKUP(Table1[[#This Row],[Supervisors'' Enroll]],[1]EmployeeMonthLyStatus!$B$2:$G$2474,6,FALSE)</f>
        <v>Sales Manager</v>
      </c>
      <c r="P619" s="18" t="s">
        <v>1303</v>
      </c>
      <c r="Q619" s="3" t="s">
        <v>32</v>
      </c>
      <c r="R619" s="3" t="s">
        <v>33</v>
      </c>
      <c r="S619" s="4"/>
    </row>
    <row r="620" spans="1:19" ht="17.45">
      <c r="A620" s="3">
        <f>SUBTOTAL(103,$B$4:B620)</f>
        <v>617</v>
      </c>
      <c r="B620" s="8">
        <v>325006</v>
      </c>
      <c r="C620" s="5" t="s">
        <v>1438</v>
      </c>
      <c r="D620" s="4" t="s">
        <v>94</v>
      </c>
      <c r="E620" s="4" t="s">
        <v>1408</v>
      </c>
      <c r="F620" s="30">
        <v>43072</v>
      </c>
      <c r="G620" s="19" t="s">
        <v>26</v>
      </c>
      <c r="H620" s="19" t="str">
        <f t="shared" ca="1" si="9"/>
        <v>8 Years, 6 Months, 0 Days</v>
      </c>
      <c r="I620" s="4" t="s">
        <v>1439</v>
      </c>
      <c r="J620" s="4" t="s">
        <v>28</v>
      </c>
      <c r="K620" s="6">
        <v>1777718050</v>
      </c>
      <c r="L620" s="6">
        <v>1777718050</v>
      </c>
      <c r="M620" s="14">
        <v>529668</v>
      </c>
      <c r="N620" s="18" t="s">
        <v>228</v>
      </c>
      <c r="O620" s="4" t="str">
        <f>VLOOKUP(Table1[[#This Row],[Supervisors'' Enroll]],[1]EmployeeMonthLyStatus!$B$2:$G$2474,6,FALSE)</f>
        <v>Chief Executive Officer</v>
      </c>
      <c r="P620" s="18" t="s">
        <v>229</v>
      </c>
      <c r="Q620" s="3" t="s">
        <v>123</v>
      </c>
      <c r="R620" s="3" t="s">
        <v>124</v>
      </c>
      <c r="S620" s="4" t="s">
        <v>1408</v>
      </c>
    </row>
    <row r="621" spans="1:19" ht="17.45">
      <c r="A621" s="3">
        <f>SUBTOTAL(103,$B$4:B621)</f>
        <v>618</v>
      </c>
      <c r="B621" s="8">
        <v>549025</v>
      </c>
      <c r="C621" s="5" t="s">
        <v>617</v>
      </c>
      <c r="D621" s="4" t="s">
        <v>24</v>
      </c>
      <c r="E621" s="4" t="s">
        <v>1408</v>
      </c>
      <c r="F621" s="30">
        <v>45638</v>
      </c>
      <c r="G621" s="19" t="s">
        <v>152</v>
      </c>
      <c r="H621" s="19" t="str">
        <f t="shared" ca="1" si="9"/>
        <v>1 Years, 5 Months, 22 Days</v>
      </c>
      <c r="I621" s="4" t="s">
        <v>1507</v>
      </c>
      <c r="J621" s="4" t="s">
        <v>28</v>
      </c>
      <c r="K621" s="6">
        <v>1673720711</v>
      </c>
      <c r="L621" s="6" t="s">
        <v>42</v>
      </c>
      <c r="M621" s="9"/>
      <c r="N621" s="4"/>
      <c r="O621" s="4"/>
      <c r="P621" s="4"/>
      <c r="Q621" s="3" t="s">
        <v>32</v>
      </c>
      <c r="R621" s="3" t="s">
        <v>33</v>
      </c>
      <c r="S621" s="4"/>
    </row>
    <row r="622" spans="1:19" ht="17.45">
      <c r="A622" s="3">
        <f>SUBTOTAL(103,$B$4:B622)</f>
        <v>619</v>
      </c>
      <c r="B622" s="8">
        <v>549498</v>
      </c>
      <c r="C622" s="5" t="s">
        <v>1508</v>
      </c>
      <c r="D622" s="4" t="s">
        <v>48</v>
      </c>
      <c r="E622" s="4" t="s">
        <v>1509</v>
      </c>
      <c r="F622" s="30">
        <v>45656</v>
      </c>
      <c r="G622" s="19" t="s">
        <v>26</v>
      </c>
      <c r="H622" s="19" t="str">
        <f t="shared" ca="1" si="9"/>
        <v>1 Years, 5 Months, 4 Days</v>
      </c>
      <c r="I622" s="4" t="s">
        <v>1510</v>
      </c>
      <c r="J622" s="4" t="s">
        <v>28</v>
      </c>
      <c r="K622" s="6">
        <v>1823938533</v>
      </c>
      <c r="L622" s="6" t="s">
        <v>42</v>
      </c>
      <c r="M622" s="14">
        <v>77872</v>
      </c>
      <c r="N622" s="18" t="s">
        <v>1047</v>
      </c>
      <c r="O622" s="4" t="s">
        <v>250</v>
      </c>
      <c r="P622" s="18" t="s">
        <v>1048</v>
      </c>
      <c r="Q622" s="3" t="s">
        <v>32</v>
      </c>
      <c r="R622" s="3" t="s">
        <v>33</v>
      </c>
      <c r="S622" s="4"/>
    </row>
    <row r="623" spans="1:19" ht="17.45">
      <c r="A623" s="3">
        <f>SUBTOTAL(103,$B$4:B623)</f>
        <v>620</v>
      </c>
      <c r="B623" s="8">
        <v>561399</v>
      </c>
      <c r="C623" s="5" t="s">
        <v>1511</v>
      </c>
      <c r="D623" s="4" t="s">
        <v>24</v>
      </c>
      <c r="E623" s="4" t="s">
        <v>1509</v>
      </c>
      <c r="F623" s="30">
        <v>46040</v>
      </c>
      <c r="G623" s="19" t="s">
        <v>152</v>
      </c>
      <c r="H623" s="19" t="str">
        <f t="shared" ca="1" si="9"/>
        <v>0 Years, 4 Months, 16 Days</v>
      </c>
      <c r="I623" s="16" t="s">
        <v>1512</v>
      </c>
      <c r="J623" s="4" t="s">
        <v>154</v>
      </c>
      <c r="K623" s="6" t="s">
        <v>1513</v>
      </c>
      <c r="L623" s="6"/>
      <c r="M623" s="9">
        <v>111295</v>
      </c>
      <c r="N623" s="5" t="s">
        <v>463</v>
      </c>
      <c r="O623" s="4" t="s">
        <v>464</v>
      </c>
      <c r="P623" s="16" t="s">
        <v>465</v>
      </c>
      <c r="Q623" s="3" t="s">
        <v>32</v>
      </c>
      <c r="R623" s="3" t="s">
        <v>33</v>
      </c>
      <c r="S623" s="4"/>
    </row>
    <row r="624" spans="1:19" ht="17.45">
      <c r="A624" s="3">
        <f>SUBTOTAL(103,$B$4:B624)</f>
        <v>621</v>
      </c>
      <c r="B624" s="8">
        <v>557838</v>
      </c>
      <c r="C624" s="5" t="s">
        <v>1514</v>
      </c>
      <c r="D624" s="4" t="s">
        <v>61</v>
      </c>
      <c r="E624" s="4" t="s">
        <v>1509</v>
      </c>
      <c r="F624" s="30">
        <v>45931</v>
      </c>
      <c r="G624" s="19" t="s">
        <v>144</v>
      </c>
      <c r="H624" s="19" t="str">
        <f t="shared" ca="1" si="9"/>
        <v>0 Years, 8 Months, 2 Days</v>
      </c>
      <c r="I624" s="4" t="s">
        <v>1515</v>
      </c>
      <c r="J624" s="4" t="s">
        <v>146</v>
      </c>
      <c r="K624" s="6">
        <v>1680199828</v>
      </c>
      <c r="L624" s="6" t="s">
        <v>42</v>
      </c>
      <c r="M624" s="9">
        <v>204848</v>
      </c>
      <c r="N624" s="4" t="s">
        <v>258</v>
      </c>
      <c r="O624" s="4" t="s">
        <v>259</v>
      </c>
      <c r="P624" s="4" t="s">
        <v>260</v>
      </c>
      <c r="Q624" s="3" t="s">
        <v>32</v>
      </c>
      <c r="R624" s="3" t="s">
        <v>33</v>
      </c>
      <c r="S624" s="4"/>
    </row>
    <row r="625" spans="1:19" ht="17.45">
      <c r="A625" s="3">
        <f>SUBTOTAL(103,$B$4:B625)</f>
        <v>622</v>
      </c>
      <c r="B625" s="8">
        <v>478255</v>
      </c>
      <c r="C625" s="5" t="s">
        <v>381</v>
      </c>
      <c r="D625" s="4" t="s">
        <v>48</v>
      </c>
      <c r="E625" s="4" t="s">
        <v>1509</v>
      </c>
      <c r="F625" s="30">
        <v>43897</v>
      </c>
      <c r="G625" s="19" t="s">
        <v>144</v>
      </c>
      <c r="H625" s="19" t="str">
        <f t="shared" ca="1" si="9"/>
        <v>6 Years, 2 Months, 27 Days</v>
      </c>
      <c r="I625" s="4" t="s">
        <v>1516</v>
      </c>
      <c r="J625" s="4" t="s">
        <v>146</v>
      </c>
      <c r="K625" s="6">
        <v>1791056378</v>
      </c>
      <c r="L625" s="6" t="s">
        <v>42</v>
      </c>
      <c r="M625" s="9">
        <v>557838</v>
      </c>
      <c r="N625" s="4" t="s">
        <v>1514</v>
      </c>
      <c r="O625" s="4" t="s">
        <v>61</v>
      </c>
      <c r="P625" s="4" t="s">
        <v>1515</v>
      </c>
      <c r="Q625" s="3" t="s">
        <v>32</v>
      </c>
      <c r="R625" s="3" t="s">
        <v>33</v>
      </c>
      <c r="S625" s="4"/>
    </row>
    <row r="626" spans="1:19" ht="17.45">
      <c r="A626" s="3">
        <f>SUBTOTAL(103,$B$4:B626)</f>
        <v>623</v>
      </c>
      <c r="B626" s="8">
        <v>133286</v>
      </c>
      <c r="C626" s="5" t="s">
        <v>1517</v>
      </c>
      <c r="D626" s="4" t="s">
        <v>35</v>
      </c>
      <c r="E626" s="4" t="s">
        <v>1518</v>
      </c>
      <c r="F626" s="30">
        <v>41883</v>
      </c>
      <c r="G626" s="19" t="s">
        <v>26</v>
      </c>
      <c r="H626" s="19" t="str">
        <f t="shared" ca="1" si="9"/>
        <v>11 Years, 9 Months, 2 Days</v>
      </c>
      <c r="I626" s="4" t="s">
        <v>1519</v>
      </c>
      <c r="J626" s="4" t="s">
        <v>28</v>
      </c>
      <c r="K626" s="6">
        <v>1925637515</v>
      </c>
      <c r="L626" s="6">
        <v>1777743535</v>
      </c>
      <c r="M626" s="9">
        <v>58073</v>
      </c>
      <c r="N626" s="4" t="s">
        <v>1520</v>
      </c>
      <c r="O626" s="4" t="s">
        <v>61</v>
      </c>
      <c r="P626" s="4" t="s">
        <v>1521</v>
      </c>
      <c r="Q626" s="3" t="s">
        <v>32</v>
      </c>
      <c r="R626" s="3" t="s">
        <v>33</v>
      </c>
      <c r="S626" s="4"/>
    </row>
    <row r="627" spans="1:19" ht="17.45">
      <c r="A627" s="3">
        <f>SUBTOTAL(103,$B$4:B627)</f>
        <v>624</v>
      </c>
      <c r="B627" s="8">
        <v>533200</v>
      </c>
      <c r="C627" s="5" t="s">
        <v>1522</v>
      </c>
      <c r="D627" s="4" t="s">
        <v>38</v>
      </c>
      <c r="E627" s="4" t="s">
        <v>1518</v>
      </c>
      <c r="F627" s="30">
        <v>44885</v>
      </c>
      <c r="G627" s="19" t="s">
        <v>26</v>
      </c>
      <c r="H627" s="19" t="str">
        <f t="shared" ca="1" si="9"/>
        <v>3 Years, 6 Months, 14 Days</v>
      </c>
      <c r="I627" s="4" t="s">
        <v>1523</v>
      </c>
      <c r="J627" s="4" t="s">
        <v>28</v>
      </c>
      <c r="K627" s="6">
        <v>1778927649</v>
      </c>
      <c r="L627" s="6">
        <v>1324762535</v>
      </c>
      <c r="M627" s="9">
        <v>58073</v>
      </c>
      <c r="N627" s="4" t="s">
        <v>1520</v>
      </c>
      <c r="O627" s="4" t="s">
        <v>61</v>
      </c>
      <c r="P627" s="4" t="s">
        <v>1521</v>
      </c>
      <c r="Q627" s="3" t="s">
        <v>32</v>
      </c>
      <c r="R627" s="3" t="s">
        <v>33</v>
      </c>
      <c r="S627" s="4"/>
    </row>
    <row r="628" spans="1:19" ht="17.45">
      <c r="A628" s="3">
        <f>SUBTOTAL(103,$B$4:B628)</f>
        <v>625</v>
      </c>
      <c r="B628" s="8">
        <v>58073</v>
      </c>
      <c r="C628" s="5" t="s">
        <v>1520</v>
      </c>
      <c r="D628" s="4" t="s">
        <v>61</v>
      </c>
      <c r="E628" s="4" t="s">
        <v>1518</v>
      </c>
      <c r="F628" s="30">
        <v>39525</v>
      </c>
      <c r="G628" s="19" t="s">
        <v>26</v>
      </c>
      <c r="H628" s="19" t="str">
        <f t="shared" ca="1" si="9"/>
        <v>18 Years, 2 Months, 16 Days</v>
      </c>
      <c r="I628" s="4" t="s">
        <v>1521</v>
      </c>
      <c r="J628" s="4" t="s">
        <v>28</v>
      </c>
      <c r="K628" s="6">
        <v>1755524957</v>
      </c>
      <c r="L628" s="6">
        <v>1755524957</v>
      </c>
      <c r="M628" s="9"/>
      <c r="N628" s="4"/>
      <c r="O628" s="4"/>
      <c r="P628" s="4"/>
      <c r="Q628" s="3" t="s">
        <v>32</v>
      </c>
      <c r="R628" s="3" t="s">
        <v>33</v>
      </c>
      <c r="S628" s="4"/>
    </row>
    <row r="629" spans="1:19" ht="17.45">
      <c r="A629" s="3">
        <f>SUBTOTAL(103,$B$4:B629)</f>
        <v>626</v>
      </c>
      <c r="B629" s="8">
        <v>460330</v>
      </c>
      <c r="C629" s="5" t="s">
        <v>1524</v>
      </c>
      <c r="D629" s="4" t="s">
        <v>35</v>
      </c>
      <c r="E629" s="4" t="s">
        <v>1525</v>
      </c>
      <c r="F629" s="30">
        <v>43715</v>
      </c>
      <c r="G629" s="19" t="s">
        <v>1526</v>
      </c>
      <c r="H629" s="19" t="str">
        <f t="shared" ca="1" si="9"/>
        <v>6 Years, 8 Months, 27 Days</v>
      </c>
      <c r="I629" s="4" t="s">
        <v>1527</v>
      </c>
      <c r="J629" s="4" t="s">
        <v>164</v>
      </c>
      <c r="K629" s="6">
        <v>1756742363</v>
      </c>
      <c r="L629" s="6">
        <v>1313014640</v>
      </c>
      <c r="M629" s="9">
        <v>525251</v>
      </c>
      <c r="N629" s="4" t="s">
        <v>1528</v>
      </c>
      <c r="O629" s="4" t="s">
        <v>250</v>
      </c>
      <c r="P629" s="4" t="s">
        <v>1529</v>
      </c>
      <c r="Q629" s="3" t="s">
        <v>32</v>
      </c>
      <c r="R629" s="3" t="s">
        <v>33</v>
      </c>
      <c r="S629" s="4"/>
    </row>
    <row r="630" spans="1:19" ht="17.45">
      <c r="A630" s="3">
        <f>SUBTOTAL(103,$B$4:B630)</f>
        <v>627</v>
      </c>
      <c r="B630" s="8">
        <v>524175</v>
      </c>
      <c r="C630" s="5" t="s">
        <v>1530</v>
      </c>
      <c r="D630" s="4" t="s">
        <v>48</v>
      </c>
      <c r="E630" s="4" t="s">
        <v>1525</v>
      </c>
      <c r="F630" s="30">
        <v>44483</v>
      </c>
      <c r="G630" s="19" t="s">
        <v>1526</v>
      </c>
      <c r="H630" s="19" t="str">
        <f t="shared" ca="1" si="9"/>
        <v>4 Years, 7 Months, 20 Days</v>
      </c>
      <c r="I630" s="4" t="s">
        <v>1531</v>
      </c>
      <c r="J630" s="4" t="s">
        <v>164</v>
      </c>
      <c r="K630" s="6">
        <v>1533069379</v>
      </c>
      <c r="L630" s="6">
        <v>1755524977</v>
      </c>
      <c r="M630" s="9">
        <v>525251</v>
      </c>
      <c r="N630" s="4" t="s">
        <v>1528</v>
      </c>
      <c r="O630" s="4" t="s">
        <v>250</v>
      </c>
      <c r="P630" s="4" t="s">
        <v>1529</v>
      </c>
      <c r="Q630" s="3" t="s">
        <v>32</v>
      </c>
      <c r="R630" s="3" t="s">
        <v>33</v>
      </c>
      <c r="S630" s="4"/>
    </row>
    <row r="631" spans="1:19" ht="17.45">
      <c r="A631" s="3">
        <f>SUBTOTAL(103,$B$4:B631)</f>
        <v>628</v>
      </c>
      <c r="B631" s="8">
        <v>525227</v>
      </c>
      <c r="C631" s="5" t="s">
        <v>1532</v>
      </c>
      <c r="D631" s="4" t="s">
        <v>48</v>
      </c>
      <c r="E631" s="4" t="s">
        <v>1525</v>
      </c>
      <c r="F631" s="30">
        <v>44560</v>
      </c>
      <c r="G631" s="19" t="s">
        <v>1526</v>
      </c>
      <c r="H631" s="19" t="str">
        <f t="shared" ca="1" si="9"/>
        <v>4 Years, 5 Months, 4 Days</v>
      </c>
      <c r="I631" s="4" t="s">
        <v>1533</v>
      </c>
      <c r="J631" s="4" t="s">
        <v>164</v>
      </c>
      <c r="K631" s="6">
        <v>1954873989</v>
      </c>
      <c r="L631" s="6">
        <v>1324762435</v>
      </c>
      <c r="M631" s="9">
        <v>525251</v>
      </c>
      <c r="N631" s="4" t="s">
        <v>1528</v>
      </c>
      <c r="O631" s="4" t="s">
        <v>250</v>
      </c>
      <c r="P631" s="4" t="s">
        <v>1529</v>
      </c>
      <c r="Q631" s="3" t="s">
        <v>32</v>
      </c>
      <c r="R631" s="3" t="s">
        <v>33</v>
      </c>
      <c r="S631" s="4"/>
    </row>
    <row r="632" spans="1:19" ht="17.45">
      <c r="A632" s="3">
        <f>SUBTOTAL(103,$B$4:B632)</f>
        <v>629</v>
      </c>
      <c r="B632" s="8">
        <v>529003</v>
      </c>
      <c r="C632" s="5" t="s">
        <v>1534</v>
      </c>
      <c r="D632" s="4" t="s">
        <v>48</v>
      </c>
      <c r="E632" s="4" t="s">
        <v>1525</v>
      </c>
      <c r="F632" s="30">
        <v>44691</v>
      </c>
      <c r="G632" s="19" t="s">
        <v>1526</v>
      </c>
      <c r="H632" s="19" t="str">
        <f t="shared" ca="1" si="9"/>
        <v>4 Years, 0 Months, 24 Days</v>
      </c>
      <c r="I632" s="4" t="s">
        <v>1535</v>
      </c>
      <c r="J632" s="4" t="s">
        <v>164</v>
      </c>
      <c r="K632" s="6">
        <v>1735157528</v>
      </c>
      <c r="L632" s="6">
        <v>1324762751</v>
      </c>
      <c r="M632" s="9">
        <v>525251</v>
      </c>
      <c r="N632" s="4" t="s">
        <v>1528</v>
      </c>
      <c r="O632" s="4" t="s">
        <v>250</v>
      </c>
      <c r="P632" s="4" t="s">
        <v>1529</v>
      </c>
      <c r="Q632" s="3" t="s">
        <v>32</v>
      </c>
      <c r="R632" s="3" t="s">
        <v>33</v>
      </c>
      <c r="S632" s="4"/>
    </row>
    <row r="633" spans="1:19" ht="17.45">
      <c r="A633" s="3">
        <f>SUBTOTAL(103,$B$4:B633)</f>
        <v>630</v>
      </c>
      <c r="B633" s="8">
        <v>529059</v>
      </c>
      <c r="C633" s="5" t="s">
        <v>1536</v>
      </c>
      <c r="D633" s="4" t="s">
        <v>48</v>
      </c>
      <c r="E633" s="4" t="s">
        <v>1525</v>
      </c>
      <c r="F633" s="30">
        <v>44696</v>
      </c>
      <c r="G633" s="19" t="s">
        <v>1526</v>
      </c>
      <c r="H633" s="19" t="str">
        <f t="shared" ca="1" si="9"/>
        <v>4 Years, 0 Months, 19 Days</v>
      </c>
      <c r="I633" s="4" t="s">
        <v>1537</v>
      </c>
      <c r="J633" s="4" t="s">
        <v>164</v>
      </c>
      <c r="K633" s="6">
        <v>1785215746</v>
      </c>
      <c r="L633" s="6">
        <v>1324762437</v>
      </c>
      <c r="M633" s="9">
        <v>525251</v>
      </c>
      <c r="N633" s="4" t="s">
        <v>1528</v>
      </c>
      <c r="O633" s="4" t="s">
        <v>250</v>
      </c>
      <c r="P633" s="4" t="s">
        <v>1529</v>
      </c>
      <c r="Q633" s="3" t="s">
        <v>32</v>
      </c>
      <c r="R633" s="3" t="s">
        <v>33</v>
      </c>
      <c r="S633" s="4"/>
    </row>
    <row r="634" spans="1:19" ht="17.45">
      <c r="A634" s="3">
        <f>SUBTOTAL(103,$B$4:B634)</f>
        <v>631</v>
      </c>
      <c r="B634" s="8">
        <v>529060</v>
      </c>
      <c r="C634" s="5" t="s">
        <v>1538</v>
      </c>
      <c r="D634" s="4" t="s">
        <v>48</v>
      </c>
      <c r="E634" s="4" t="s">
        <v>1525</v>
      </c>
      <c r="F634" s="30">
        <v>44696</v>
      </c>
      <c r="G634" s="19" t="s">
        <v>1526</v>
      </c>
      <c r="H634" s="19" t="str">
        <f t="shared" ca="1" si="9"/>
        <v>4 Years, 0 Months, 19 Days</v>
      </c>
      <c r="I634" s="4" t="s">
        <v>1539</v>
      </c>
      <c r="J634" s="4" t="s">
        <v>164</v>
      </c>
      <c r="K634" s="6">
        <v>1773441987</v>
      </c>
      <c r="L634" s="6">
        <v>1324762436</v>
      </c>
      <c r="M634" s="9">
        <v>525251</v>
      </c>
      <c r="N634" s="4" t="s">
        <v>1528</v>
      </c>
      <c r="O634" s="4" t="s">
        <v>250</v>
      </c>
      <c r="P634" s="4" t="s">
        <v>1529</v>
      </c>
      <c r="Q634" s="3" t="s">
        <v>32</v>
      </c>
      <c r="R634" s="3" t="s">
        <v>33</v>
      </c>
      <c r="S634" s="4"/>
    </row>
    <row r="635" spans="1:19" ht="17.45">
      <c r="A635" s="3">
        <f>SUBTOTAL(103,$B$4:B635)</f>
        <v>632</v>
      </c>
      <c r="B635" s="8">
        <v>529400</v>
      </c>
      <c r="C635" s="5" t="s">
        <v>1540</v>
      </c>
      <c r="D635" s="4" t="s">
        <v>48</v>
      </c>
      <c r="E635" s="4" t="s">
        <v>1525</v>
      </c>
      <c r="F635" s="30">
        <v>44717</v>
      </c>
      <c r="G635" s="19" t="s">
        <v>1526</v>
      </c>
      <c r="H635" s="19" t="str">
        <f t="shared" ca="1" si="9"/>
        <v>3 Years, 11 Months, 29 Days</v>
      </c>
      <c r="I635" s="4" t="s">
        <v>1541</v>
      </c>
      <c r="J635" s="4" t="s">
        <v>164</v>
      </c>
      <c r="K635" s="6">
        <v>1863473873</v>
      </c>
      <c r="L635" s="6">
        <v>1329645709</v>
      </c>
      <c r="M635" s="9">
        <v>525251</v>
      </c>
      <c r="N635" s="4" t="s">
        <v>1528</v>
      </c>
      <c r="O635" s="4" t="s">
        <v>250</v>
      </c>
      <c r="P635" s="4" t="s">
        <v>1529</v>
      </c>
      <c r="Q635" s="3" t="s">
        <v>32</v>
      </c>
      <c r="R635" s="3" t="s">
        <v>33</v>
      </c>
      <c r="S635" s="4"/>
    </row>
    <row r="636" spans="1:19" ht="17.45">
      <c r="A636" s="3">
        <f>SUBTOTAL(103,$B$4:B636)</f>
        <v>633</v>
      </c>
      <c r="B636" s="8">
        <v>529401</v>
      </c>
      <c r="C636" s="5" t="s">
        <v>1542</v>
      </c>
      <c r="D636" s="4" t="s">
        <v>48</v>
      </c>
      <c r="E636" s="4" t="s">
        <v>1525</v>
      </c>
      <c r="F636" s="30">
        <v>44717</v>
      </c>
      <c r="G636" s="19" t="s">
        <v>1526</v>
      </c>
      <c r="H636" s="19" t="str">
        <f t="shared" ca="1" si="9"/>
        <v>3 Years, 11 Months, 29 Days</v>
      </c>
      <c r="I636" s="4" t="s">
        <v>1543</v>
      </c>
      <c r="J636" s="4" t="s">
        <v>164</v>
      </c>
      <c r="K636" s="6">
        <v>1855755196</v>
      </c>
      <c r="L636" s="6">
        <v>1329645710</v>
      </c>
      <c r="M636" s="9">
        <v>525251</v>
      </c>
      <c r="N636" s="4" t="s">
        <v>1528</v>
      </c>
      <c r="O636" s="4" t="s">
        <v>250</v>
      </c>
      <c r="P636" s="4" t="s">
        <v>1529</v>
      </c>
      <c r="Q636" s="3" t="s">
        <v>32</v>
      </c>
      <c r="R636" s="3" t="s">
        <v>33</v>
      </c>
      <c r="S636" s="4"/>
    </row>
    <row r="637" spans="1:19" ht="17.45">
      <c r="A637" s="3">
        <f>SUBTOTAL(103,$B$4:B637)</f>
        <v>634</v>
      </c>
      <c r="B637" s="8">
        <v>529978</v>
      </c>
      <c r="C637" s="5" t="s">
        <v>1544</v>
      </c>
      <c r="D637" s="4" t="s">
        <v>38</v>
      </c>
      <c r="E637" s="4" t="s">
        <v>1525</v>
      </c>
      <c r="F637" s="30">
        <v>44770</v>
      </c>
      <c r="G637" s="19" t="s">
        <v>1526</v>
      </c>
      <c r="H637" s="19" t="str">
        <f t="shared" ca="1" si="9"/>
        <v>3 Years, 10 Months, 6 Days</v>
      </c>
      <c r="I637" s="4" t="s">
        <v>1545</v>
      </c>
      <c r="J637" s="4" t="s">
        <v>164</v>
      </c>
      <c r="K637" s="6">
        <v>1858462042</v>
      </c>
      <c r="L637" s="6">
        <v>1329645711</v>
      </c>
      <c r="M637" s="9">
        <v>525251</v>
      </c>
      <c r="N637" s="4" t="s">
        <v>1528</v>
      </c>
      <c r="O637" s="4" t="s">
        <v>250</v>
      </c>
      <c r="P637" s="4" t="s">
        <v>1529</v>
      </c>
      <c r="Q637" s="3" t="s">
        <v>32</v>
      </c>
      <c r="R637" s="3" t="s">
        <v>33</v>
      </c>
      <c r="S637" s="4"/>
    </row>
    <row r="638" spans="1:19" ht="17.45">
      <c r="A638" s="3">
        <f>SUBTOTAL(103,$B$4:B638)</f>
        <v>635</v>
      </c>
      <c r="B638" s="8">
        <v>538950</v>
      </c>
      <c r="C638" s="5" t="s">
        <v>1546</v>
      </c>
      <c r="D638" s="4" t="s">
        <v>38</v>
      </c>
      <c r="E638" s="4" t="s">
        <v>1525</v>
      </c>
      <c r="F638" s="30">
        <v>45186</v>
      </c>
      <c r="G638" s="19" t="s">
        <v>1526</v>
      </c>
      <c r="H638" s="19" t="str">
        <f t="shared" ca="1" si="9"/>
        <v>2 Years, 8 Months, 17 Days</v>
      </c>
      <c r="I638" s="4" t="s">
        <v>1547</v>
      </c>
      <c r="J638" s="4" t="s">
        <v>164</v>
      </c>
      <c r="K638" s="6">
        <v>1644399561</v>
      </c>
      <c r="L638" s="6">
        <v>1329645705</v>
      </c>
      <c r="M638" s="9">
        <v>525251</v>
      </c>
      <c r="N638" s="4" t="s">
        <v>1528</v>
      </c>
      <c r="O638" s="4" t="s">
        <v>250</v>
      </c>
      <c r="P638" s="4" t="s">
        <v>1529</v>
      </c>
      <c r="Q638" s="3" t="s">
        <v>32</v>
      </c>
      <c r="R638" s="3" t="s">
        <v>33</v>
      </c>
      <c r="S638" s="4"/>
    </row>
    <row r="639" spans="1:19" ht="17.45">
      <c r="A639" s="3">
        <f>SUBTOTAL(103,$B$4:B639)</f>
        <v>636</v>
      </c>
      <c r="B639" s="8">
        <v>541019</v>
      </c>
      <c r="C639" s="5" t="s">
        <v>1548</v>
      </c>
      <c r="D639" s="4" t="s">
        <v>35</v>
      </c>
      <c r="E639" s="4" t="s">
        <v>1525</v>
      </c>
      <c r="F639" s="30">
        <v>45312</v>
      </c>
      <c r="G639" s="19" t="s">
        <v>1526</v>
      </c>
      <c r="H639" s="19" t="str">
        <f t="shared" ca="1" si="9"/>
        <v>2 Years, 4 Months, 13 Days</v>
      </c>
      <c r="I639" s="4" t="s">
        <v>1549</v>
      </c>
      <c r="J639" s="4" t="s">
        <v>164</v>
      </c>
      <c r="K639" s="6">
        <v>1846311918</v>
      </c>
      <c r="L639" s="6">
        <v>1329645895</v>
      </c>
      <c r="M639" s="9">
        <v>525251</v>
      </c>
      <c r="N639" s="4" t="s">
        <v>1528</v>
      </c>
      <c r="O639" s="4" t="s">
        <v>250</v>
      </c>
      <c r="P639" s="4" t="s">
        <v>1529</v>
      </c>
      <c r="Q639" s="3" t="s">
        <v>32</v>
      </c>
      <c r="R639" s="3" t="s">
        <v>33</v>
      </c>
      <c r="S639" s="4"/>
    </row>
    <row r="640" spans="1:19" ht="17.45">
      <c r="A640" s="3">
        <f>SUBTOTAL(103,$B$4:B640)</f>
        <v>637</v>
      </c>
      <c r="B640" s="8">
        <v>544067</v>
      </c>
      <c r="C640" s="5" t="s">
        <v>1550</v>
      </c>
      <c r="D640" s="4" t="s">
        <v>38</v>
      </c>
      <c r="E640" s="4" t="s">
        <v>1525</v>
      </c>
      <c r="F640" s="30">
        <v>45475</v>
      </c>
      <c r="G640" s="19" t="s">
        <v>1526</v>
      </c>
      <c r="H640" s="19" t="str">
        <f t="shared" ca="1" si="9"/>
        <v>1 Years, 11 Months, 1 Days</v>
      </c>
      <c r="I640" s="4" t="s">
        <v>1551</v>
      </c>
      <c r="J640" s="4" t="s">
        <v>164</v>
      </c>
      <c r="K640" s="6">
        <v>1753373453</v>
      </c>
      <c r="L640" s="6" t="s">
        <v>42</v>
      </c>
      <c r="M640" s="9">
        <v>525251</v>
      </c>
      <c r="N640" s="4" t="s">
        <v>1528</v>
      </c>
      <c r="O640" s="4" t="s">
        <v>250</v>
      </c>
      <c r="P640" s="4" t="s">
        <v>1529</v>
      </c>
      <c r="Q640" s="3" t="s">
        <v>32</v>
      </c>
      <c r="R640" s="3" t="s">
        <v>33</v>
      </c>
      <c r="S640" s="4"/>
    </row>
    <row r="641" spans="1:19" ht="17.45">
      <c r="A641" s="3">
        <f>SUBTOTAL(103,$B$4:B641)</f>
        <v>638</v>
      </c>
      <c r="B641" s="8">
        <v>552279</v>
      </c>
      <c r="C641" s="5" t="s">
        <v>1552</v>
      </c>
      <c r="D641" s="4" t="s">
        <v>38</v>
      </c>
      <c r="E641" s="4" t="s">
        <v>1525</v>
      </c>
      <c r="F641" s="30">
        <v>45762</v>
      </c>
      <c r="G641" s="19" t="s">
        <v>1526</v>
      </c>
      <c r="H641" s="19" t="str">
        <f t="shared" ca="1" si="9"/>
        <v>1 Years, 1 Months, 19 Days</v>
      </c>
      <c r="I641" s="4" t="s">
        <v>1553</v>
      </c>
      <c r="J641" s="4" t="s">
        <v>164</v>
      </c>
      <c r="K641" s="6">
        <v>1679745419</v>
      </c>
      <c r="L641" s="6" t="s">
        <v>42</v>
      </c>
      <c r="M641" s="9">
        <v>525251</v>
      </c>
      <c r="N641" s="4" t="s">
        <v>1528</v>
      </c>
      <c r="O641" s="4" t="s">
        <v>250</v>
      </c>
      <c r="P641" s="4" t="s">
        <v>1529</v>
      </c>
      <c r="Q641" s="3" t="s">
        <v>32</v>
      </c>
      <c r="R641" s="3" t="s">
        <v>33</v>
      </c>
      <c r="S641" s="4"/>
    </row>
    <row r="642" spans="1:19" ht="17.45">
      <c r="A642" s="3">
        <f>SUBTOTAL(103,$B$4:B642)</f>
        <v>639</v>
      </c>
      <c r="B642" s="8">
        <v>552280</v>
      </c>
      <c r="C642" s="5" t="s">
        <v>1554</v>
      </c>
      <c r="D642" s="4" t="s">
        <v>38</v>
      </c>
      <c r="E642" s="4" t="s">
        <v>1525</v>
      </c>
      <c r="F642" s="30">
        <v>45762</v>
      </c>
      <c r="G642" s="19" t="s">
        <v>1526</v>
      </c>
      <c r="H642" s="19" t="str">
        <f t="shared" ca="1" si="9"/>
        <v>1 Years, 1 Months, 19 Days</v>
      </c>
      <c r="I642" s="4" t="s">
        <v>1555</v>
      </c>
      <c r="J642" s="4" t="s">
        <v>164</v>
      </c>
      <c r="K642" s="6">
        <v>1771992079</v>
      </c>
      <c r="L642" s="6" t="s">
        <v>42</v>
      </c>
      <c r="M642" s="9">
        <v>525251</v>
      </c>
      <c r="N642" s="4" t="s">
        <v>1528</v>
      </c>
      <c r="O642" s="4" t="s">
        <v>250</v>
      </c>
      <c r="P642" s="4" t="s">
        <v>1529</v>
      </c>
      <c r="Q642" s="3" t="s">
        <v>32</v>
      </c>
      <c r="R642" s="3" t="s">
        <v>33</v>
      </c>
      <c r="S642" s="4"/>
    </row>
    <row r="643" spans="1:19" ht="17.45">
      <c r="A643" s="3">
        <f>SUBTOTAL(103,$B$4:B643)</f>
        <v>640</v>
      </c>
      <c r="B643" s="8">
        <v>555601</v>
      </c>
      <c r="C643" s="5" t="s">
        <v>1556</v>
      </c>
      <c r="D643" s="4" t="s">
        <v>38</v>
      </c>
      <c r="E643" s="4" t="s">
        <v>1525</v>
      </c>
      <c r="F643" s="30">
        <v>45876</v>
      </c>
      <c r="G643" s="19" t="s">
        <v>1526</v>
      </c>
      <c r="H643" s="19" t="str">
        <f t="shared" ca="1" si="9"/>
        <v>0 Years, 9 Months, 27 Days</v>
      </c>
      <c r="I643" s="4" t="s">
        <v>1557</v>
      </c>
      <c r="J643" s="4" t="s">
        <v>164</v>
      </c>
      <c r="K643" s="6">
        <v>1623412052</v>
      </c>
      <c r="L643" s="6" t="s">
        <v>42</v>
      </c>
      <c r="M643" s="9">
        <v>525251</v>
      </c>
      <c r="N643" s="4" t="s">
        <v>1528</v>
      </c>
      <c r="O643" s="4" t="s">
        <v>250</v>
      </c>
      <c r="P643" s="4" t="s">
        <v>1529</v>
      </c>
      <c r="Q643" s="3" t="s">
        <v>32</v>
      </c>
      <c r="R643" s="3" t="s">
        <v>33</v>
      </c>
      <c r="S643" s="4"/>
    </row>
    <row r="644" spans="1:19" ht="17.45">
      <c r="A644" s="3">
        <f>SUBTOTAL(103,$B$4:B644)</f>
        <v>641</v>
      </c>
      <c r="B644" s="8">
        <v>555602</v>
      </c>
      <c r="C644" s="5" t="s">
        <v>1558</v>
      </c>
      <c r="D644" s="4" t="s">
        <v>38</v>
      </c>
      <c r="E644" s="4" t="s">
        <v>1525</v>
      </c>
      <c r="F644" s="30">
        <v>45876</v>
      </c>
      <c r="G644" s="19" t="s">
        <v>1526</v>
      </c>
      <c r="H644" s="19" t="str">
        <f t="shared" ca="1" si="9"/>
        <v>0 Years, 9 Months, 27 Days</v>
      </c>
      <c r="I644" s="4" t="s">
        <v>1559</v>
      </c>
      <c r="J644" s="4" t="s">
        <v>164</v>
      </c>
      <c r="K644" s="6">
        <v>1761371437</v>
      </c>
      <c r="L644" s="6" t="s">
        <v>42</v>
      </c>
      <c r="M644" s="9">
        <v>525251</v>
      </c>
      <c r="N644" s="4" t="s">
        <v>1528</v>
      </c>
      <c r="O644" s="4" t="s">
        <v>250</v>
      </c>
      <c r="P644" s="4" t="s">
        <v>1529</v>
      </c>
      <c r="Q644" s="3" t="s">
        <v>32</v>
      </c>
      <c r="R644" s="3" t="s">
        <v>33</v>
      </c>
      <c r="S644" s="4"/>
    </row>
    <row r="645" spans="1:19" ht="17.45">
      <c r="A645" s="3">
        <f>SUBTOTAL(103,$B$4:B645)</f>
        <v>642</v>
      </c>
      <c r="B645" s="8">
        <v>555604</v>
      </c>
      <c r="C645" s="5" t="s">
        <v>1560</v>
      </c>
      <c r="D645" s="4" t="s">
        <v>38</v>
      </c>
      <c r="E645" s="4" t="s">
        <v>1525</v>
      </c>
      <c r="F645" s="30">
        <v>45876</v>
      </c>
      <c r="G645" s="19" t="s">
        <v>1526</v>
      </c>
      <c r="H645" s="19" t="str">
        <f t="shared" ref="H645:H650" ca="1" si="10">DATEDIF(F645,TODAY(),"Y") &amp; " Years, " &amp; DATEDIF(F645,TODAY(),"YM") &amp; " Months, " &amp; DATEDIF(F645,TODAY(),"MD") &amp; " Days"</f>
        <v>0 Years, 9 Months, 27 Days</v>
      </c>
      <c r="I645" s="4" t="s">
        <v>1561</v>
      </c>
      <c r="J645" s="4" t="s">
        <v>164</v>
      </c>
      <c r="K645" s="6">
        <v>1911222163</v>
      </c>
      <c r="L645" s="6" t="s">
        <v>42</v>
      </c>
      <c r="M645" s="9">
        <v>525251</v>
      </c>
      <c r="N645" s="4" t="s">
        <v>1528</v>
      </c>
      <c r="O645" s="4" t="s">
        <v>250</v>
      </c>
      <c r="P645" s="4" t="s">
        <v>1529</v>
      </c>
      <c r="Q645" s="3" t="s">
        <v>32</v>
      </c>
      <c r="R645" s="3" t="s">
        <v>33</v>
      </c>
      <c r="S645" s="4"/>
    </row>
    <row r="646" spans="1:19" ht="17.45">
      <c r="A646" s="3">
        <f>SUBTOTAL(103,$B$4:B646)</f>
        <v>643</v>
      </c>
      <c r="B646" s="8">
        <v>555606</v>
      </c>
      <c r="C646" s="5" t="s">
        <v>1562</v>
      </c>
      <c r="D646" s="4" t="s">
        <v>38</v>
      </c>
      <c r="E646" s="4" t="s">
        <v>1525</v>
      </c>
      <c r="F646" s="30">
        <v>45876</v>
      </c>
      <c r="G646" s="19" t="s">
        <v>1526</v>
      </c>
      <c r="H646" s="19" t="str">
        <f t="shared" ca="1" si="10"/>
        <v>0 Years, 9 Months, 27 Days</v>
      </c>
      <c r="I646" s="4" t="s">
        <v>1563</v>
      </c>
      <c r="J646" s="4" t="s">
        <v>164</v>
      </c>
      <c r="K646" s="6">
        <v>1617192996</v>
      </c>
      <c r="L646" s="6" t="s">
        <v>42</v>
      </c>
      <c r="M646" s="9">
        <v>525251</v>
      </c>
      <c r="N646" s="4" t="s">
        <v>1528</v>
      </c>
      <c r="O646" s="4" t="s">
        <v>250</v>
      </c>
      <c r="P646" s="4" t="s">
        <v>1529</v>
      </c>
      <c r="Q646" s="3" t="s">
        <v>32</v>
      </c>
      <c r="R646" s="3" t="s">
        <v>33</v>
      </c>
      <c r="S646" s="4"/>
    </row>
    <row r="647" spans="1:19" ht="17.45">
      <c r="A647" s="3">
        <f>SUBTOTAL(103,$B$4:B647)</f>
        <v>644</v>
      </c>
      <c r="B647" s="8">
        <v>555608</v>
      </c>
      <c r="C647" s="5" t="s">
        <v>1564</v>
      </c>
      <c r="D647" s="4" t="s">
        <v>38</v>
      </c>
      <c r="E647" s="4" t="s">
        <v>1525</v>
      </c>
      <c r="F647" s="30">
        <v>45876</v>
      </c>
      <c r="G647" s="19" t="s">
        <v>1526</v>
      </c>
      <c r="H647" s="19" t="str">
        <f t="shared" ca="1" si="10"/>
        <v>0 Years, 9 Months, 27 Days</v>
      </c>
      <c r="I647" s="4" t="s">
        <v>1565</v>
      </c>
      <c r="J647" s="4" t="s">
        <v>164</v>
      </c>
      <c r="K647" s="6">
        <v>1955080597</v>
      </c>
      <c r="L647" s="6" t="s">
        <v>42</v>
      </c>
      <c r="M647" s="9">
        <v>525251</v>
      </c>
      <c r="N647" s="4" t="s">
        <v>1528</v>
      </c>
      <c r="O647" s="4" t="s">
        <v>250</v>
      </c>
      <c r="P647" s="4" t="s">
        <v>1529</v>
      </c>
      <c r="Q647" s="3" t="s">
        <v>32</v>
      </c>
      <c r="R647" s="3" t="s">
        <v>33</v>
      </c>
      <c r="S647" s="4"/>
    </row>
    <row r="648" spans="1:19" ht="17.45">
      <c r="A648" s="3">
        <f>SUBTOTAL(103,$B$4:B648)</f>
        <v>645</v>
      </c>
      <c r="B648" s="8">
        <v>558370</v>
      </c>
      <c r="C648" s="5" t="s">
        <v>1566</v>
      </c>
      <c r="D648" s="4" t="s">
        <v>38</v>
      </c>
      <c r="E648" s="4" t="s">
        <v>1525</v>
      </c>
      <c r="F648" s="30">
        <v>45945</v>
      </c>
      <c r="G648" s="19" t="s">
        <v>1526</v>
      </c>
      <c r="H648" s="19" t="str">
        <f t="shared" ca="1" si="10"/>
        <v>0 Years, 7 Months, 19 Days</v>
      </c>
      <c r="I648" s="4" t="s">
        <v>1567</v>
      </c>
      <c r="J648" s="4" t="s">
        <v>164</v>
      </c>
      <c r="K648" s="6">
        <v>1992718882</v>
      </c>
      <c r="L648" s="6" t="s">
        <v>42</v>
      </c>
      <c r="M648" s="9">
        <v>525251</v>
      </c>
      <c r="N648" s="4" t="s">
        <v>1528</v>
      </c>
      <c r="O648" s="4" t="s">
        <v>250</v>
      </c>
      <c r="P648" s="4" t="s">
        <v>1529</v>
      </c>
      <c r="Q648" s="3" t="s">
        <v>32</v>
      </c>
      <c r="R648" s="3" t="s">
        <v>33</v>
      </c>
      <c r="S648" s="4"/>
    </row>
    <row r="649" spans="1:19" ht="17.45">
      <c r="A649" s="3">
        <f>SUBTOTAL(103,$B$4:B649)</f>
        <v>646</v>
      </c>
      <c r="B649" s="8">
        <v>525251</v>
      </c>
      <c r="C649" s="5" t="s">
        <v>1528</v>
      </c>
      <c r="D649" s="4" t="s">
        <v>250</v>
      </c>
      <c r="E649" s="4" t="s">
        <v>1525</v>
      </c>
      <c r="F649" s="30">
        <v>44560</v>
      </c>
      <c r="G649" s="19" t="s">
        <v>1526</v>
      </c>
      <c r="H649" s="19" t="str">
        <f t="shared" ca="1" si="10"/>
        <v>4 Years, 5 Months, 4 Days</v>
      </c>
      <c r="I649" s="4" t="s">
        <v>1529</v>
      </c>
      <c r="J649" s="4" t="s">
        <v>164</v>
      </c>
      <c r="K649" s="6">
        <v>1711261167</v>
      </c>
      <c r="L649" s="6">
        <v>1755694424</v>
      </c>
      <c r="M649" s="14"/>
      <c r="N649" s="18" t="s">
        <v>175</v>
      </c>
      <c r="O649" s="4" t="s">
        <v>175</v>
      </c>
      <c r="P649" s="4" t="s">
        <v>175</v>
      </c>
      <c r="Q649" s="3" t="s">
        <v>32</v>
      </c>
      <c r="R649" s="3" t="s">
        <v>124</v>
      </c>
      <c r="S649" s="4" t="s">
        <v>1568</v>
      </c>
    </row>
    <row r="650" spans="1:19" ht="17.45">
      <c r="A650" s="3">
        <f>SUBTOTAL(103,$B$4:B650)</f>
        <v>647</v>
      </c>
      <c r="B650" s="8">
        <v>560192</v>
      </c>
      <c r="C650" s="5" t="s">
        <v>1569</v>
      </c>
      <c r="D650" s="4" t="s">
        <v>1570</v>
      </c>
      <c r="E650" s="4" t="s">
        <v>1525</v>
      </c>
      <c r="F650" s="30">
        <v>46001</v>
      </c>
      <c r="G650" s="19" t="s">
        <v>1526</v>
      </c>
      <c r="H650" s="19" t="str">
        <f t="shared" ca="1" si="10"/>
        <v>0 Years, 5 Months, 24 Days</v>
      </c>
      <c r="I650" s="4" t="s">
        <v>1571</v>
      </c>
      <c r="J650" s="4" t="s">
        <v>164</v>
      </c>
      <c r="K650" s="6">
        <v>1755544245</v>
      </c>
      <c r="L650" s="6" t="s">
        <v>42</v>
      </c>
      <c r="M650" s="14"/>
      <c r="N650" s="18" t="s">
        <v>373</v>
      </c>
      <c r="O650" s="4" t="s">
        <v>374</v>
      </c>
      <c r="P650" s="18"/>
      <c r="Q650" s="3" t="s">
        <v>123</v>
      </c>
      <c r="R650" s="3" t="s">
        <v>33</v>
      </c>
      <c r="S650" s="4"/>
    </row>
  </sheetData>
  <mergeCells count="4">
    <mergeCell ref="A2:L2"/>
    <mergeCell ref="M2:P2"/>
    <mergeCell ref="A1:S1"/>
    <mergeCell ref="Q2:S2"/>
  </mergeCells>
  <phoneticPr fontId="8" type="noConversion"/>
  <hyperlinks>
    <hyperlink ref="I462" r:id="rId1" display="maidul@akijee.com" xr:uid="{DFACB580-E27D-49D3-ABB9-5C9196ED45C5}"/>
    <hyperlink ref="I465" r:id="rId2" xr:uid="{118A00D5-C5E1-4A50-8EE6-33FAA018F279}"/>
    <hyperlink ref="I493" r:id="rId3" xr:uid="{227F006A-14C0-421F-94D8-B7C18D84F2A7}"/>
    <hyperlink ref="I486" r:id="rId4" xr:uid="{43F75030-8540-4B41-9E78-BBB844468A1D}"/>
    <hyperlink ref="I494" r:id="rId5" xr:uid="{3890988D-AF74-4195-A4D8-0302E43DB0E3}"/>
    <hyperlink ref="I487" r:id="rId6" xr:uid="{6E26F037-606F-4E6F-B3DE-B9AC251A8639}"/>
    <hyperlink ref="I104" r:id="rId7" xr:uid="{47D6E065-785E-4BCB-ACDE-47D753B85EAF}"/>
    <hyperlink ref="I546" r:id="rId8" xr:uid="{42F3F11E-D9FE-4717-AFD2-D236CF0A4F02}"/>
    <hyperlink ref="I22" r:id="rId9" xr:uid="{9435F834-B2CB-4F91-ABD5-13BA3041FA97}"/>
    <hyperlink ref="I24" r:id="rId10" xr:uid="{89BDFFAE-27FF-4D51-903F-4E12B15C1053}"/>
    <hyperlink ref="I176" r:id="rId11" xr:uid="{D0A050AB-570B-48BD-B078-3AA8DD0BB5A8}"/>
    <hyperlink ref="I13" r:id="rId12" xr:uid="{181961B0-2FF4-445A-846E-444AAAF6FE55}"/>
    <hyperlink ref="I254" r:id="rId13" xr:uid="{B4BEBE81-A111-4E47-B3BA-9B8C86A26011}"/>
    <hyperlink ref="I213" r:id="rId14" xr:uid="{7B5B93CC-F137-4D10-8FE3-B5F2AC3B2F91}"/>
    <hyperlink ref="I623" r:id="rId15" xr:uid="{95C3D0CE-50FA-48A1-969D-F4298D76AFFF}"/>
    <hyperlink ref="I456" r:id="rId16" xr:uid="{1CAF307B-2D62-481C-A715-D4375D6F254A}"/>
    <hyperlink ref="I42" r:id="rId17" xr:uid="{030F1F95-A2AD-4E90-8F8D-C9CB3F707D8D}"/>
    <hyperlink ref="I319" r:id="rId18" xr:uid="{57F6B935-E46E-495E-8E85-F2DADAA16C56}"/>
    <hyperlink ref="I361" r:id="rId19" xr:uid="{0BDAB987-4D74-4892-92BF-E3ED4413AF55}"/>
    <hyperlink ref="I362" r:id="rId20" xr:uid="{B21A316B-A320-4C41-88EA-703718966AF1}"/>
    <hyperlink ref="P251:P252" r:id="rId21" display="zahid.rahman@akijfood.com" xr:uid="{C42A1EB4-EABF-4263-8FF0-56A76A99D279}"/>
    <hyperlink ref="P161" r:id="rId22" display="zahid.rahman@akijfood.com" xr:uid="{412E86AF-819D-421E-BCAC-CFAD3C615B60}"/>
    <hyperlink ref="P162" r:id="rId23" display="zahid.rahman@akijfood.com" xr:uid="{C7D1A392-2A11-4323-BAA1-147930BDF609}"/>
    <hyperlink ref="P623" r:id="rId24" display="zahid.rahman@akijfood.com" xr:uid="{A1F04598-0C18-4481-93E3-483F8EF1ACE8}"/>
    <hyperlink ref="I498" r:id="rId25" xr:uid="{0A5188F2-C065-43A4-B903-D8EA008539BF}"/>
    <hyperlink ref="I375" r:id="rId26" xr:uid="{36477159-C1F3-4B12-99FC-9B5C1F062BC3}"/>
  </hyperlinks>
  <pageMargins left="0.7" right="0.7" top="0.75" bottom="0.75" header="0.3" footer="0.3"/>
  <pageSetup orientation="portrait" r:id="rId27"/>
  <drawing r:id="rId28"/>
  <tableParts count="1">
    <tablePart r:id="rId29"/>
  </tableParts>
  <extLst>
    <ext xmlns:x15="http://schemas.microsoft.com/office/spreadsheetml/2010/11/main" uri="{3A4CF648-6AED-40f4-86FF-DC5316D8AED3}">
      <x14:slicerList xmlns:x14="http://schemas.microsoft.com/office/spreadsheetml/2009/9/main">
        <x14:slicer r:id="rId30"/>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D42877F3D29CB4E82578E46822C9C1D" ma:contentTypeVersion="10" ma:contentTypeDescription="Create a new document." ma:contentTypeScope="" ma:versionID="70ad3fd6c1e3af48afb16c6ab3586b43">
  <xsd:schema xmlns:xsd="http://www.w3.org/2001/XMLSchema" xmlns:xs="http://www.w3.org/2001/XMLSchema" xmlns:p="http://schemas.microsoft.com/office/2006/metadata/properties" xmlns:ns2="1a729d5c-c4c8-4275-9fde-d3f0a90fab5c" xmlns:ns3="196d6037-13c0-4e3d-9652-5c92106f04c4" targetNamespace="http://schemas.microsoft.com/office/2006/metadata/properties" ma:root="true" ma:fieldsID="f1af3024cd05d5e3020e890409d364e0" ns2:_="" ns3:_="">
    <xsd:import namespace="1a729d5c-c4c8-4275-9fde-d3f0a90fab5c"/>
    <xsd:import namespace="196d6037-13c0-4e3d-9652-5c92106f04c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729d5c-c4c8-4275-9fde-d3f0a90fab5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4915ff66-7ff4-464d-8810-bc5a1d81a49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96d6037-13c0-4e3d-9652-5c92106f04c4"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fe278d9-110a-43d4-b48e-8d25c7d29c37}" ma:internalName="TaxCatchAll" ma:showField="CatchAllData" ma:web="196d6037-13c0-4e3d-9652-5c92106f04c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196d6037-13c0-4e3d-9652-5c92106f04c4" xsi:nil="true"/>
    <lcf76f155ced4ddcb4097134ff3c332f xmlns="1a729d5c-c4c8-4275-9fde-d3f0a90fab5c">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5A9C92ED-3ED9-4CCC-83BB-AF31009D6CC0}"/>
</file>

<file path=customXml/itemProps2.xml><?xml version="1.0" encoding="utf-8"?>
<ds:datastoreItem xmlns:ds="http://schemas.openxmlformats.org/officeDocument/2006/customXml" ds:itemID="{C8E2FB0C-09BF-413F-A46A-6ABE6B2426E1}"/>
</file>

<file path=customXml/itemProps3.xml><?xml version="1.0" encoding="utf-8"?>
<ds:datastoreItem xmlns:ds="http://schemas.openxmlformats.org/officeDocument/2006/customXml" ds:itemID="{AC75F216-6757-4DB0-96DF-1BE6D30024D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Md. Nasir Uddin</dc:creator>
  <cp:keywords/>
  <dc:description/>
  <cp:lastModifiedBy/>
  <cp:revision/>
  <dcterms:created xsi:type="dcterms:W3CDTF">2025-07-22T03:33:31Z</dcterms:created>
  <dcterms:modified xsi:type="dcterms:W3CDTF">2026-06-03T03:28:51Z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0x010100BD42877F3D29CB4E82578E46822C9C1D</vt:lpwstr>
  </property>
  <property fmtid="{D5CDD505-2E9C-101B-9397-08002B2CF9AE}" pid="3" name="MediaServiceImageTags">
    <vt:lpwstr/>
  </property>
</Properties>
</file>